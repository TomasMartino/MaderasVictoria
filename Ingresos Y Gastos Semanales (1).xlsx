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ENTAS DIARIAS" sheetId="1" state="visible" r:id="rId1"/>
    <sheet name="BALANCE" sheetId="2" state="visible" r:id="rId2"/>
    <sheet name="TARJ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$]#,##0"/>
    <numFmt numFmtId="165" formatCode="d/m/yyyy"/>
    <numFmt numFmtId="166" formatCode="dd/mm/yy"/>
    <numFmt numFmtId="167" formatCode="d/m"/>
    <numFmt numFmtId="168" formatCode="d/MM/yyyy"/>
    <numFmt numFmtId="169" formatCode="dd/mm/yyyy"/>
    <numFmt numFmtId="170" formatCode="yyyy-mm-dd h:mm:ss"/>
  </numFmts>
  <fonts count="20">
    <font>
      <name val="Calibri"/>
      <color theme="1"/>
      <sz val="11"/>
      <scheme val="minor"/>
    </font>
    <font>
      <name val="Calibri"/>
      <b val="1"/>
      <i val="1"/>
      <color theme="1"/>
      <sz val="12"/>
      <scheme val="minor"/>
    </font>
    <font>
      <name val="Calibri"/>
      <b val="1"/>
      <i val="1"/>
      <color theme="1"/>
      <sz val="17"/>
      <scheme val="minor"/>
    </font>
    <font/>
    <font>
      <name val="Lora"/>
      <b val="1"/>
      <i val="1"/>
      <color rgb="FF000000"/>
      <sz val="22"/>
    </font>
    <font>
      <name val="Lexend"/>
      <b val="1"/>
      <color theme="1"/>
      <sz val="12"/>
    </font>
    <font>
      <name val="Lexend"/>
      <color theme="1"/>
    </font>
    <font>
      <name val="Calibri"/>
      <color theme="1"/>
      <scheme val="minor"/>
    </font>
    <font>
      <name val="Calibri"/>
      <b val="1"/>
      <i val="1"/>
      <color theme="1"/>
      <sz val="15"/>
      <scheme val="minor"/>
    </font>
    <font>
      <name val="Calibri"/>
      <b val="1"/>
      <color theme="1"/>
      <sz val="12"/>
      <scheme val="minor"/>
    </font>
    <font>
      <name val="Lexend"/>
      <b val="1"/>
      <i val="1"/>
      <color theme="1"/>
    </font>
    <font>
      <name val="Calibri"/>
      <i val="1"/>
      <color rgb="FF990000"/>
      <scheme val="minor"/>
    </font>
    <font>
      <name val="Calibri"/>
      <b val="1"/>
      <color theme="1"/>
      <sz val="13"/>
      <scheme val="minor"/>
    </font>
    <font>
      <name val="Calibri"/>
      <b val="1"/>
      <i val="1"/>
      <color theme="1"/>
      <scheme val="minor"/>
    </font>
    <font>
      <name val="Calibri"/>
      <color rgb="FF990000"/>
      <scheme val="minor"/>
    </font>
    <font>
      <name val="Calibri"/>
      <b val="1"/>
      <color theme="1"/>
      <sz val="10"/>
      <scheme val="minor"/>
    </font>
    <font>
      <name val="Calibri"/>
      <b val="1"/>
      <color theme="1"/>
      <sz val="15"/>
      <scheme val="minor"/>
    </font>
    <font>
      <name val="Calibri"/>
      <color theme="1"/>
      <sz val="9"/>
      <scheme val="minor"/>
    </font>
    <font>
      <name val="Roboto"/>
      <color rgb="FF434343"/>
      <sz val="11"/>
    </font>
    <font>
      <name val="Calibri"/>
      <color theme="1"/>
      <sz val="11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4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E6B8AF"/>
      </right>
      <top style="medium">
        <color rgb="FFE6B8AF"/>
      </top>
      <bottom style="medium">
        <color rgb="FFE6B8AF"/>
      </bottom>
    </border>
    <border>
      <left style="medium">
        <color rgb="FFE6B8AF"/>
      </left>
      <right style="medium">
        <color rgb="FFE6B8AF"/>
      </right>
      <top style="medium">
        <color rgb="FFE6B8AF"/>
      </top>
      <bottom style="medium">
        <color rgb="FFE6B8AF"/>
      </bottom>
    </border>
    <border>
      <left style="medium">
        <color rgb="FFE6B8AF"/>
      </left>
      <right style="medium">
        <color rgb="FFE6B8AF"/>
      </right>
      <bottom style="medium">
        <color rgb="FFE6B8AF"/>
      </bottom>
    </border>
    <border>
      <left style="medium">
        <color rgb="FFE6B8AF"/>
      </left>
      <right style="medium">
        <color rgb="FF000000"/>
      </right>
      <top style="medium">
        <color rgb="FFE6B8AF"/>
      </top>
      <bottom style="medium">
        <color rgb="FFE6B8AF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17">
    <xf numFmtId="0" fontId="0" fillId="0" borderId="0" applyAlignment="1" pivotButton="0" quotePrefix="0" xfId="0">
      <alignment vertical="bottom"/>
    </xf>
    <xf numFmtId="0" fontId="1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3" pivotButton="0" quotePrefix="0" xfId="0"/>
    <xf numFmtId="0" fontId="5" fillId="4" borderId="4" applyAlignment="1" pivotButton="0" quotePrefix="0" xfId="0">
      <alignment horizontal="center" vertical="top"/>
    </xf>
    <xf numFmtId="0" fontId="5" fillId="4" borderId="5" applyAlignment="1" pivotButton="0" quotePrefix="0" xfId="0">
      <alignment horizontal="center" vertical="top"/>
    </xf>
    <xf numFmtId="0" fontId="5" fillId="4" borderId="5" applyAlignment="1" pivotButton="0" quotePrefix="0" xfId="0">
      <alignment horizontal="center" vertical="top"/>
    </xf>
    <xf numFmtId="0" fontId="5" fillId="4" borderId="6" applyAlignment="1" pivotButton="0" quotePrefix="0" xfId="0">
      <alignment horizontal="center" vertical="top"/>
    </xf>
    <xf numFmtId="0" fontId="6" fillId="4" borderId="0" pivotButton="0" quotePrefix="0" xfId="0"/>
    <xf numFmtId="0" fontId="5" fillId="4" borderId="7" applyAlignment="1" pivotButton="0" quotePrefix="0" xfId="0">
      <alignment horizontal="center" vertical="top"/>
    </xf>
    <xf numFmtId="164" fontId="7" fillId="0" borderId="0" pivotButton="0" quotePrefix="0" xfId="0"/>
    <xf numFmtId="165" fontId="6" fillId="2" borderId="8" pivotButton="0" quotePrefix="0" xfId="0"/>
    <xf numFmtId="164" fontId="7" fillId="2" borderId="0" pivotButton="0" quotePrefix="0" xfId="0"/>
    <xf numFmtId="164" fontId="7" fillId="0" borderId="0" pivotButton="0" quotePrefix="0" xfId="0"/>
    <xf numFmtId="164" fontId="7" fillId="2" borderId="0" pivotButton="0" quotePrefix="0" xfId="0"/>
    <xf numFmtId="164" fontId="7" fillId="5" borderId="0" pivotButton="0" quotePrefix="0" xfId="0"/>
    <xf numFmtId="164" fontId="7" fillId="6" borderId="0" pivotButton="0" quotePrefix="0" xfId="0"/>
    <xf numFmtId="166" fontId="7" fillId="0" borderId="0" pivotButton="0" quotePrefix="0" xfId="0"/>
    <xf numFmtId="0" fontId="8" fillId="0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9" fillId="0" borderId="12" applyAlignment="1" pivotButton="0" quotePrefix="0" xfId="0">
      <alignment horizontal="center"/>
    </xf>
    <xf numFmtId="0" fontId="3" fillId="0" borderId="13" pivotButton="0" quotePrefix="0" xfId="0"/>
    <xf numFmtId="164" fontId="7" fillId="2" borderId="14" pivotButton="0" quotePrefix="0" xfId="0"/>
    <xf numFmtId="0" fontId="9" fillId="0" borderId="15" applyAlignment="1" pivotButton="0" quotePrefix="0" xfId="0">
      <alignment horizontal="center"/>
    </xf>
    <xf numFmtId="0" fontId="3" fillId="0" borderId="16" pivotButton="0" quotePrefix="0" xfId="0"/>
    <xf numFmtId="164" fontId="7" fillId="0" borderId="17" applyAlignment="1" pivotButton="0" quotePrefix="0" xfId="0">
      <alignment horizontal="center"/>
    </xf>
    <xf numFmtId="0" fontId="3" fillId="0" borderId="18" pivotButton="0" quotePrefix="0" xfId="0"/>
    <xf numFmtId="0" fontId="7" fillId="2" borderId="0" pivotButton="0" quotePrefix="0" xfId="0"/>
    <xf numFmtId="164" fontId="7" fillId="0" borderId="0" pivotButton="0" quotePrefix="0" xfId="0"/>
    <xf numFmtId="165" fontId="6" fillId="2" borderId="19" pivotButton="0" quotePrefix="0" xfId="0"/>
    <xf numFmtId="0" fontId="7" fillId="0" borderId="20" pivotButton="0" quotePrefix="0" xfId="0"/>
    <xf numFmtId="164" fontId="7" fillId="0" borderId="21" pivotButton="0" quotePrefix="0" xfId="0"/>
    <xf numFmtId="164" fontId="7" fillId="2" borderId="20" pivotButton="0" quotePrefix="0" xfId="0"/>
    <xf numFmtId="0" fontId="10" fillId="6" borderId="15" pivotButton="0" quotePrefix="0" xfId="0"/>
    <xf numFmtId="164" fontId="7" fillId="5" borderId="21" pivotButton="0" quotePrefix="0" xfId="0"/>
    <xf numFmtId="164" fontId="11" fillId="0" borderId="22" pivotButton="0" quotePrefix="0" xfId="0"/>
    <xf numFmtId="164" fontId="7" fillId="6" borderId="23" pivotButton="0" quotePrefix="0" xfId="0"/>
    <xf numFmtId="0" fontId="2" fillId="0" borderId="0" applyAlignment="1" pivotButton="0" quotePrefix="0" xfId="0">
      <alignment horizontal="center" vertical="center"/>
    </xf>
    <xf numFmtId="164" fontId="7" fillId="5" borderId="23" pivotButton="0" quotePrefix="0" xfId="0"/>
    <xf numFmtId="0" fontId="2" fillId="2" borderId="1" applyAlignment="1" pivotButton="0" quotePrefix="0" xfId="0">
      <alignment horizontal="center"/>
    </xf>
    <xf numFmtId="164" fontId="12" fillId="6" borderId="13" pivotButton="0" quotePrefix="0" xfId="0"/>
    <xf numFmtId="0" fontId="5" fillId="4" borderId="8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top"/>
    </xf>
    <xf numFmtId="0" fontId="5" fillId="4" borderId="14" applyAlignment="1" pivotButton="0" quotePrefix="0" xfId="0">
      <alignment horizontal="center" vertical="top"/>
    </xf>
    <xf numFmtId="167" fontId="6" fillId="2" borderId="8" applyAlignment="1" pivotButton="0" quotePrefix="0" xfId="0">
      <alignment horizontal="center"/>
    </xf>
    <xf numFmtId="164" fontId="7" fillId="2" borderId="0" applyAlignment="1" pivotButton="0" quotePrefix="0" xfId="0">
      <alignment horizontal="center"/>
    </xf>
    <xf numFmtId="0" fontId="7" fillId="0" borderId="14" pivotButton="0" quotePrefix="0" xfId="0"/>
    <xf numFmtId="0" fontId="13" fillId="0" borderId="14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8" fontId="7" fillId="0" borderId="24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0" fontId="7" fillId="0" borderId="8" pivotButton="0" quotePrefix="0" xfId="0"/>
    <xf numFmtId="0" fontId="0" fillId="0" borderId="25" applyAlignment="1" pivotButton="0" quotePrefix="0" xfId="0">
      <alignment horizontal="center" vertical="center"/>
    </xf>
    <xf numFmtId="0" fontId="6" fillId="2" borderId="19" pivotButton="0" quotePrefix="0" xfId="0"/>
    <xf numFmtId="164" fontId="7" fillId="0" borderId="26" applyAlignment="1" pivotButton="0" quotePrefix="0" xfId="0">
      <alignment vertical="center"/>
    </xf>
    <xf numFmtId="164" fontId="7" fillId="2" borderId="2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164" fontId="14" fillId="0" borderId="20" pivotButton="0" quotePrefix="0" xfId="0"/>
    <xf numFmtId="0" fontId="7" fillId="0" borderId="22" pivotButton="0" quotePrefix="0" xfId="0"/>
    <xf numFmtId="0" fontId="7" fillId="0" borderId="27" applyAlignment="1" pivotButton="0" quotePrefix="0" xfId="0">
      <alignment vertical="center"/>
    </xf>
    <xf numFmtId="0" fontId="0" fillId="0" borderId="27" applyAlignment="1" pivotButton="0" quotePrefix="0" xfId="0">
      <alignment horizontal="center" vertical="center"/>
    </xf>
    <xf numFmtId="164" fontId="7" fillId="0" borderId="28" applyAlignment="1" pivotButton="0" quotePrefix="0" xfId="0">
      <alignment vertical="center"/>
    </xf>
    <xf numFmtId="168" fontId="7" fillId="0" borderId="29" applyAlignment="1" pivotButton="0" quotePrefix="0" xfId="0">
      <alignment vertical="center"/>
    </xf>
    <xf numFmtId="0" fontId="15" fillId="2" borderId="0" applyAlignment="1" pivotButton="0" quotePrefix="0" xfId="0">
      <alignment horizontal="center" vertical="center" textRotation="45"/>
    </xf>
    <xf numFmtId="0" fontId="6" fillId="4" borderId="0" pivotButton="0" quotePrefix="0" xfId="0"/>
    <xf numFmtId="0" fontId="10" fillId="6" borderId="30" pivotButton="0" quotePrefix="0" xfId="0"/>
    <xf numFmtId="164" fontId="7" fillId="5" borderId="31" pivotButton="0" quotePrefix="0" xfId="0"/>
    <xf numFmtId="164" fontId="7" fillId="6" borderId="31" pivotButton="0" quotePrefix="0" xfId="0"/>
    <xf numFmtId="164" fontId="12" fillId="6" borderId="32" pivotButton="0" quotePrefix="0" xfId="0"/>
    <xf numFmtId="169" fontId="7" fillId="0" borderId="29" applyAlignment="1" pivotButton="0" quotePrefix="0" xfId="0">
      <alignment vertical="center"/>
    </xf>
    <xf numFmtId="0" fontId="10" fillId="6" borderId="33" pivotButton="0" quotePrefix="0" xfId="0"/>
    <xf numFmtId="164" fontId="7" fillId="7" borderId="33" pivotButton="0" quotePrefix="0" xfId="0"/>
    <xf numFmtId="164" fontId="0" fillId="0" borderId="28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16" fillId="7" borderId="33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vertical="center" wrapText="1"/>
    </xf>
    <xf numFmtId="164" fontId="0" fillId="0" borderId="0" applyAlignment="1" pivotButton="0" quotePrefix="0" xfId="0">
      <alignment horizontal="right" vertical="center"/>
    </xf>
    <xf numFmtId="0" fontId="0" fillId="0" borderId="27" applyAlignment="1" pivotButton="0" quotePrefix="0" xfId="0">
      <alignment vertical="center" wrapText="1"/>
    </xf>
    <xf numFmtId="0" fontId="17" fillId="0" borderId="27" applyAlignment="1" pivotButton="0" quotePrefix="0" xfId="0">
      <alignment vertical="center" wrapText="1"/>
    </xf>
    <xf numFmtId="0" fontId="7" fillId="0" borderId="34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7" fillId="0" borderId="35" applyAlignment="1" pivotButton="0" quotePrefix="0" xfId="0">
      <alignment vertical="center" wrapText="1"/>
    </xf>
    <xf numFmtId="164" fontId="0" fillId="0" borderId="36" applyAlignment="1" pivotButton="0" quotePrefix="0" xfId="0">
      <alignment horizontal="right" vertical="center"/>
    </xf>
    <xf numFmtId="169" fontId="7" fillId="0" borderId="37" applyAlignment="1" pivotButton="0" quotePrefix="0" xfId="0">
      <alignment vertical="center"/>
    </xf>
    <xf numFmtId="169" fontId="7" fillId="0" borderId="38" applyAlignment="1" pivotButton="0" quotePrefix="0" xfId="0">
      <alignment vertical="center"/>
    </xf>
    <xf numFmtId="169" fontId="7" fillId="0" borderId="39" applyAlignment="1" pivotButton="0" quotePrefix="0" xfId="0">
      <alignment vertical="center"/>
    </xf>
    <xf numFmtId="0" fontId="7" fillId="0" borderId="37" applyAlignment="1" pivotButton="0" quotePrefix="0" xfId="0">
      <alignment horizontal="right" vertical="center"/>
    </xf>
    <xf numFmtId="169" fontId="7" fillId="0" borderId="37" applyAlignment="1" pivotButton="0" quotePrefix="0" xfId="0">
      <alignment horizontal="right" vertical="center"/>
    </xf>
    <xf numFmtId="0" fontId="7" fillId="0" borderId="35" applyAlignment="1" pivotButton="0" quotePrefix="0" xfId="0">
      <alignment horizontal="center" vertical="center" wrapText="1"/>
    </xf>
    <xf numFmtId="169" fontId="18" fillId="2" borderId="37" applyAlignment="1" pivotButton="0" quotePrefix="0" xfId="0">
      <alignment horizontal="right" vertical="center"/>
    </xf>
    <xf numFmtId="0" fontId="18" fillId="2" borderId="35" applyAlignment="1" pivotButton="0" quotePrefix="0" xfId="0">
      <alignment vertical="center"/>
    </xf>
    <xf numFmtId="0" fontId="19" fillId="2" borderId="35" applyAlignment="1" pivotButton="0" quotePrefix="0" xfId="0">
      <alignment vertical="center"/>
    </xf>
    <xf numFmtId="164" fontId="18" fillId="2" borderId="36" applyAlignment="1" pivotButton="0" quotePrefix="0" xfId="0">
      <alignment horizontal="right" vertical="center"/>
    </xf>
    <xf numFmtId="0" fontId="0" fillId="0" borderId="0" pivotButton="0" quotePrefix="0" xfId="0"/>
    <xf numFmtId="0" fontId="8" fillId="0" borderId="41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9" fillId="0" borderId="37" applyAlignment="1" pivotButton="0" quotePrefix="0" xfId="0">
      <alignment horizontal="center"/>
    </xf>
    <xf numFmtId="0" fontId="0" fillId="0" borderId="13" pivotButton="0" quotePrefix="0" xfId="0"/>
    <xf numFmtId="0" fontId="9" fillId="0" borderId="35" applyAlignment="1" pivotButton="0" quotePrefix="0" xfId="0">
      <alignment horizontal="center"/>
    </xf>
    <xf numFmtId="0" fontId="9" fillId="0" borderId="36" applyAlignment="1" pivotButton="0" quotePrefix="0" xfId="0">
      <alignment horizontal="center"/>
    </xf>
    <xf numFmtId="0" fontId="0" fillId="0" borderId="16" pivotButton="0" quotePrefix="0" xfId="0"/>
    <xf numFmtId="164" fontId="7" fillId="0" borderId="40" applyAlignment="1" pivotButton="0" quotePrefix="0" xfId="0">
      <alignment horizontal="center"/>
    </xf>
    <xf numFmtId="0" fontId="0" fillId="0" borderId="18" pivotButton="0" quotePrefix="0" xfId="0"/>
    <xf numFmtId="0" fontId="2" fillId="2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43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VENTAS DIARIA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GRESOS_DIARIOS" displayName="INGRESOS_DIARIOS" ref="B2:F491" headerRowCount="1">
  <autoFilter ref="$B$2:$F$491"/>
  <tableColumns count="5">
    <tableColumn id="1" name="FECHAS"/>
    <tableColumn id="2" name="TIPO DE INGRESO"/>
    <tableColumn id="3" name="DETALLE"/>
    <tableColumn id="4" name="MONTO"/>
    <tableColumn id="5" name="Columna 1"/>
  </tableColumns>
  <tableStyleInfo name="VENTAS DIARIA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F49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14" customWidth="1" style="102" min="3" max="3"/>
    <col width="17" customWidth="1" style="102" min="4" max="4"/>
    <col width="17.43" customWidth="1" style="102" min="5" max="5"/>
  </cols>
  <sheetData>
    <row r="2" ht="22.5" customHeight="1" s="102">
      <c r="B2" s="53" t="inlineStr">
        <is>
          <t>FECHAS</t>
        </is>
      </c>
      <c r="C2" s="53" t="inlineStr">
        <is>
          <t>TIPO DE INGRESO</t>
        </is>
      </c>
      <c r="D2" s="53" t="inlineStr">
        <is>
          <t>DETALLE</t>
        </is>
      </c>
      <c r="E2" s="53" t="inlineStr">
        <is>
          <t>MONTO</t>
        </is>
      </c>
      <c r="F2" s="53" t="inlineStr">
        <is>
          <t>Columna 1</t>
        </is>
      </c>
    </row>
    <row r="3" ht="22.5" customHeight="1" s="102">
      <c r="B3" s="54" t="n">
        <v>46035</v>
      </c>
      <c r="C3" s="55" t="inlineStr">
        <is>
          <t>EFECTIVO</t>
        </is>
      </c>
      <c r="D3" s="57" t="inlineStr">
        <is>
          <t>IMPREGNADOS</t>
        </is>
      </c>
      <c r="E3" s="59" t="n">
        <v>170000</v>
      </c>
      <c r="F3" s="61" t="n"/>
    </row>
    <row r="4" hidden="1" ht="22.5" customHeight="1" s="102">
      <c r="B4" s="54" t="n">
        <v>46035</v>
      </c>
      <c r="C4" s="64" t="inlineStr">
        <is>
          <t>TRANSFERENCIA</t>
        </is>
      </c>
      <c r="D4" s="65" t="inlineStr">
        <is>
          <t>PEDIDO</t>
        </is>
      </c>
      <c r="E4" s="66" t="n">
        <v>475000</v>
      </c>
      <c r="F4" s="61" t="n"/>
    </row>
    <row r="5" ht="22.5" customHeight="1" s="102">
      <c r="B5" s="67" t="n">
        <v>46036</v>
      </c>
      <c r="C5" s="64" t="inlineStr">
        <is>
          <t>EFECTIVO</t>
        </is>
      </c>
      <c r="D5" s="65" t="inlineStr">
        <is>
          <t>IMPREGNADOS</t>
        </is>
      </c>
      <c r="E5" s="66" t="n">
        <v>400000</v>
      </c>
      <c r="F5" s="61" t="n"/>
    </row>
    <row r="6" hidden="1" ht="22.5" customHeight="1" s="102">
      <c r="B6" s="67" t="n">
        <v>46038</v>
      </c>
      <c r="C6" s="64" t="inlineStr">
        <is>
          <t>TRANSFERENCIA</t>
        </is>
      </c>
      <c r="D6" s="65" t="inlineStr">
        <is>
          <t>SEÑA PEDIDO</t>
        </is>
      </c>
      <c r="E6" s="66" t="n">
        <v>500000</v>
      </c>
      <c r="F6" s="61" t="n"/>
    </row>
    <row r="7" hidden="1" ht="22.5" customHeight="1" s="102">
      <c r="B7" s="67" t="n">
        <v>46038</v>
      </c>
      <c r="C7" s="64" t="inlineStr">
        <is>
          <t>TRANSFERENCIA</t>
        </is>
      </c>
      <c r="D7" s="65" t="inlineStr">
        <is>
          <t>PEDIDO</t>
        </is>
      </c>
      <c r="E7" s="66" t="n">
        <v>1197500</v>
      </c>
      <c r="F7" s="61" t="n"/>
    </row>
    <row r="8" ht="22.5" customHeight="1" s="102">
      <c r="B8" s="67" t="n">
        <v>46038</v>
      </c>
      <c r="C8" s="64" t="inlineStr">
        <is>
          <t>EFECTIVO</t>
        </is>
      </c>
      <c r="D8" s="65" t="inlineStr">
        <is>
          <t>PEDIDO</t>
        </is>
      </c>
      <c r="E8" s="66" t="n">
        <v>1097500</v>
      </c>
      <c r="F8" s="61" t="n"/>
    </row>
    <row r="9" ht="22.5" customHeight="1" s="102">
      <c r="B9" s="67" t="n">
        <v>46041</v>
      </c>
      <c r="C9" s="64" t="inlineStr">
        <is>
          <t>EFECTIVO</t>
        </is>
      </c>
      <c r="D9" s="65" t="inlineStr">
        <is>
          <t>3X3</t>
        </is>
      </c>
      <c r="E9" s="66" t="n">
        <v>93800</v>
      </c>
      <c r="F9" s="61" t="n"/>
    </row>
    <row r="10" hidden="1" ht="22.5" customHeight="1" s="102">
      <c r="B10" s="74" t="n">
        <v>46042</v>
      </c>
      <c r="C10" s="64" t="inlineStr">
        <is>
          <t>TRANSFERENCIA</t>
        </is>
      </c>
      <c r="D10" s="65" t="inlineStr">
        <is>
          <t>PEDIDO</t>
        </is>
      </c>
      <c r="E10" s="77" t="n">
        <v>358700</v>
      </c>
      <c r="F10" s="78" t="n"/>
    </row>
    <row r="11" hidden="1" ht="22.5" customHeight="1" s="102">
      <c r="B11" s="74" t="n">
        <v>46043</v>
      </c>
      <c r="C11" s="64" t="inlineStr">
        <is>
          <t>TRANSFERENCIA</t>
        </is>
      </c>
      <c r="D11" s="65" t="inlineStr">
        <is>
          <t>PEDIDO</t>
        </is>
      </c>
      <c r="E11" s="77" t="n">
        <v>1260000</v>
      </c>
      <c r="F11" s="78" t="n"/>
    </row>
    <row r="12" ht="22.5" customHeight="1" s="102">
      <c r="B12" s="74" t="n">
        <v>46046</v>
      </c>
      <c r="C12" s="64" t="inlineStr">
        <is>
          <t>EFECTIVO</t>
        </is>
      </c>
      <c r="D12" s="65" t="inlineStr">
        <is>
          <t>IMPREGNADOS</t>
        </is>
      </c>
      <c r="E12" s="77" t="n">
        <v>108000</v>
      </c>
      <c r="F12" s="78" t="n"/>
    </row>
    <row r="13" hidden="1" ht="22.5" customHeight="1" s="102">
      <c r="B13" s="74" t="n">
        <v>46046</v>
      </c>
      <c r="C13" s="64" t="inlineStr">
        <is>
          <t>TRANSFERENCIA</t>
        </is>
      </c>
      <c r="D13" s="65" t="inlineStr">
        <is>
          <t>FENOLICOS</t>
        </is>
      </c>
      <c r="E13" s="77" t="n">
        <v>168000</v>
      </c>
      <c r="F13" s="78" t="n"/>
    </row>
    <row r="14" hidden="1" ht="22.5" customHeight="1" s="102">
      <c r="B14" s="74" t="n">
        <v>46046</v>
      </c>
      <c r="C14" s="64" t="inlineStr">
        <is>
          <t>TRANSFERENCIA</t>
        </is>
      </c>
      <c r="D14" s="65" t="inlineStr">
        <is>
          <t xml:space="preserve">ALAMO </t>
        </is>
      </c>
      <c r="E14" s="77" t="n">
        <v>39000</v>
      </c>
      <c r="F14" s="78" t="n"/>
    </row>
    <row r="15" hidden="1" ht="22.5" customHeight="1" s="102">
      <c r="B15" s="74" t="n">
        <v>46046</v>
      </c>
      <c r="C15" s="64" t="inlineStr">
        <is>
          <t>TRANSFERENCIA</t>
        </is>
      </c>
      <c r="D15" s="65" t="inlineStr">
        <is>
          <t xml:space="preserve">ALAMO </t>
        </is>
      </c>
      <c r="E15" s="77" t="n">
        <v>26000</v>
      </c>
      <c r="F15" s="78" t="n"/>
    </row>
    <row r="16" hidden="1" ht="22.5" customHeight="1" s="102">
      <c r="B16" s="74" t="n">
        <v>46048</v>
      </c>
      <c r="C16" s="64" t="inlineStr">
        <is>
          <t>TRANSFERENCIA</t>
        </is>
      </c>
      <c r="D16" s="65" t="inlineStr">
        <is>
          <t>PEDIDO</t>
        </is>
      </c>
      <c r="E16" s="77" t="n">
        <v>566000</v>
      </c>
      <c r="F16" s="78" t="n"/>
    </row>
    <row r="17" hidden="1" ht="22.5" customHeight="1" s="102">
      <c r="B17" s="74" t="n">
        <v>46049</v>
      </c>
      <c r="C17" s="64" t="inlineStr">
        <is>
          <t>DEBITO</t>
        </is>
      </c>
      <c r="D17" s="65" t="inlineStr">
        <is>
          <t>ROLLIZO</t>
        </is>
      </c>
      <c r="E17" s="77" t="n">
        <v>150000</v>
      </c>
      <c r="F17" s="78" t="n"/>
    </row>
    <row r="18" ht="22.5" customHeight="1" s="102">
      <c r="B18" s="74" t="n">
        <v>46049</v>
      </c>
      <c r="C18" s="64" t="inlineStr">
        <is>
          <t>EFECTIVO</t>
        </is>
      </c>
      <c r="D18" s="65" t="inlineStr">
        <is>
          <t>FENOLICOS</t>
        </is>
      </c>
      <c r="E18" s="77" t="n">
        <v>28000</v>
      </c>
      <c r="F18" s="78" t="n"/>
    </row>
    <row r="19" hidden="1" ht="22.5" customHeight="1" s="102">
      <c r="B19" s="74" t="n">
        <v>46049</v>
      </c>
      <c r="C19" s="64" t="inlineStr">
        <is>
          <t>TRANSFERENCIA</t>
        </is>
      </c>
      <c r="D19" s="65" t="inlineStr">
        <is>
          <t xml:space="preserve">ALAMO </t>
        </is>
      </c>
      <c r="E19" s="77" t="n">
        <v>268000</v>
      </c>
      <c r="F19" s="78" t="n"/>
    </row>
    <row r="20" ht="22.5" customHeight="1" s="102">
      <c r="B20" s="74" t="n">
        <v>46050</v>
      </c>
      <c r="C20" s="64" t="inlineStr">
        <is>
          <t>EFECTIVO</t>
        </is>
      </c>
      <c r="D20" s="65" t="inlineStr">
        <is>
          <t xml:space="preserve">ALAMO </t>
        </is>
      </c>
      <c r="E20" s="77" t="n">
        <v>212000</v>
      </c>
      <c r="F20" s="78" t="n"/>
    </row>
    <row r="21" hidden="1" ht="22.5" customHeight="1" s="102">
      <c r="B21" s="74" t="n">
        <v>46051</v>
      </c>
      <c r="C21" s="64" t="inlineStr">
        <is>
          <t>DEBITO</t>
        </is>
      </c>
      <c r="D21" s="65" t="inlineStr">
        <is>
          <t>PEDIDO</t>
        </is>
      </c>
      <c r="E21" s="77" t="n">
        <v>479250</v>
      </c>
      <c r="F21" s="78" t="n"/>
    </row>
    <row r="22" ht="22.5" customHeight="1" s="102">
      <c r="B22" s="67" t="n">
        <v>46055</v>
      </c>
      <c r="C22" s="64" t="inlineStr">
        <is>
          <t>EFECTIVO</t>
        </is>
      </c>
      <c r="D22" s="65" t="inlineStr">
        <is>
          <t>IMPREGNADOS</t>
        </is>
      </c>
      <c r="E22" s="77" t="n">
        <v>200000</v>
      </c>
      <c r="F22" s="78" t="n"/>
    </row>
    <row r="23" hidden="1" ht="22.5" customHeight="1" s="102">
      <c r="B23" s="67" t="n"/>
      <c r="C23" s="64" t="n"/>
      <c r="D23" s="65" t="n"/>
      <c r="E23" s="77" t="n"/>
      <c r="F23" s="78" t="n"/>
    </row>
    <row r="24" hidden="1" ht="22.5" customHeight="1" s="102">
      <c r="B24" s="67" t="n"/>
      <c r="C24" s="64" t="n"/>
      <c r="D24" s="65" t="n"/>
      <c r="E24" s="77" t="n"/>
      <c r="F24" s="78" t="n"/>
    </row>
    <row r="25" hidden="1" ht="22.5" customHeight="1" s="102">
      <c r="B25" s="67" t="n"/>
      <c r="C25" s="64" t="n"/>
      <c r="D25" s="65" t="n"/>
      <c r="E25" s="77" t="n"/>
      <c r="F25" s="78" t="n"/>
    </row>
    <row r="26" hidden="1" ht="22.5" customHeight="1" s="102">
      <c r="B26" s="67" t="n"/>
      <c r="C26" s="64" t="n"/>
      <c r="D26" s="65" t="n"/>
      <c r="E26" s="77" t="n"/>
      <c r="F26" s="78" t="n"/>
    </row>
    <row r="27" hidden="1" ht="22.5" customHeight="1" s="102">
      <c r="B27" s="67" t="n"/>
      <c r="C27" s="64" t="n"/>
      <c r="D27" s="65" t="n"/>
      <c r="E27" s="77" t="n"/>
      <c r="F27" s="78" t="n"/>
    </row>
    <row r="28" hidden="1" ht="22.5" customHeight="1" s="102">
      <c r="B28" s="67" t="n"/>
      <c r="C28" s="64" t="n"/>
      <c r="D28" s="65" t="n"/>
      <c r="E28" s="77" t="n"/>
      <c r="F28" s="78" t="n"/>
    </row>
    <row r="29" hidden="1" ht="22.5" customHeight="1" s="102">
      <c r="B29" s="67" t="n"/>
      <c r="C29" s="64" t="n"/>
      <c r="D29" s="65" t="n"/>
      <c r="E29" s="77" t="n"/>
      <c r="F29" s="78" t="n"/>
    </row>
    <row r="30" hidden="1" ht="22.5" customHeight="1" s="102">
      <c r="B30" s="67" t="n"/>
      <c r="C30" s="64" t="n"/>
      <c r="D30" s="65" t="n"/>
      <c r="E30" s="77" t="n"/>
      <c r="F30" s="78" t="n"/>
    </row>
    <row r="31" hidden="1" ht="22.5" customHeight="1" s="102">
      <c r="B31" s="74" t="n"/>
      <c r="C31" s="64" t="n"/>
      <c r="D31" s="65" t="n"/>
      <c r="E31" s="77" t="n"/>
      <c r="F31" s="78" t="n"/>
    </row>
    <row r="32" hidden="1" ht="22.5" customHeight="1" s="102">
      <c r="B32" s="74" t="n"/>
      <c r="C32" s="64" t="n"/>
      <c r="D32" s="65" t="n"/>
      <c r="E32" s="77" t="n"/>
      <c r="F32" s="78" t="n"/>
    </row>
    <row r="33" hidden="1" ht="22.5" customHeight="1" s="102">
      <c r="B33" s="74" t="n"/>
      <c r="C33" s="64" t="n"/>
      <c r="D33" s="65" t="n"/>
      <c r="E33" s="77" t="n"/>
      <c r="F33" s="78" t="n"/>
    </row>
    <row r="34" hidden="1" ht="22.5" customHeight="1" s="102">
      <c r="B34" s="74" t="n"/>
      <c r="C34" s="64" t="n"/>
      <c r="D34" s="65" t="n"/>
      <c r="E34" s="77" t="n"/>
      <c r="F34" s="78" t="n"/>
    </row>
    <row r="35" hidden="1" ht="22.5" customHeight="1" s="102">
      <c r="B35" s="74" t="n"/>
      <c r="C35" s="64" t="n"/>
      <c r="D35" s="65" t="n"/>
      <c r="E35" s="77" t="n"/>
      <c r="F35" s="78" t="n"/>
    </row>
    <row r="36" hidden="1" ht="22.5" customHeight="1" s="102">
      <c r="B36" s="74" t="n"/>
      <c r="C36" s="64" t="n"/>
      <c r="D36" s="65" t="n"/>
      <c r="E36" s="77" t="n"/>
      <c r="F36" s="78" t="n"/>
    </row>
    <row r="37" hidden="1" ht="22.5" customHeight="1" s="102">
      <c r="B37" s="74" t="n"/>
      <c r="C37" s="64" t="n"/>
      <c r="D37" s="65" t="n"/>
      <c r="E37" s="77" t="n"/>
      <c r="F37" s="78" t="n"/>
    </row>
    <row r="38" hidden="1" ht="22.5" customHeight="1" s="102">
      <c r="B38" s="74" t="n"/>
      <c r="C38" s="64" t="n"/>
      <c r="D38" s="65" t="n"/>
      <c r="E38" s="77" t="n"/>
      <c r="F38" s="78" t="n"/>
    </row>
    <row r="39" hidden="1" ht="22.5" customHeight="1" s="102">
      <c r="B39" s="74" t="n"/>
      <c r="C39" s="64" t="n"/>
      <c r="D39" s="82" t="n"/>
      <c r="E39" s="77" t="n"/>
      <c r="F39" s="78" t="n"/>
    </row>
    <row r="40" hidden="1" ht="22.5" customHeight="1" s="102">
      <c r="B40" s="74" t="n"/>
      <c r="C40" s="64" t="n"/>
      <c r="D40" s="82" t="n"/>
      <c r="E40" s="77" t="n"/>
      <c r="F40" s="78" t="n"/>
    </row>
    <row r="41" hidden="1" ht="22.5" customHeight="1" s="102">
      <c r="B41" s="74" t="n"/>
      <c r="C41" s="64" t="n"/>
      <c r="D41" s="82" t="n"/>
      <c r="E41" s="77" t="n"/>
      <c r="F41" s="78" t="n"/>
    </row>
    <row r="42" hidden="1" ht="22.5" customHeight="1" s="102">
      <c r="B42" s="74" t="n"/>
      <c r="C42" s="64" t="n"/>
      <c r="D42" s="82" t="n"/>
      <c r="E42" s="77" t="n"/>
      <c r="F42" s="78" t="n"/>
    </row>
    <row r="43" hidden="1" ht="22.5" customHeight="1" s="102">
      <c r="B43" s="74" t="n"/>
      <c r="C43" s="64" t="n"/>
      <c r="D43" s="82" t="n"/>
      <c r="E43" s="77" t="n"/>
      <c r="F43" s="78" t="n"/>
    </row>
    <row r="44" hidden="1" ht="22.5" customHeight="1" s="102">
      <c r="B44" s="74" t="n"/>
      <c r="C44" s="64" t="n"/>
      <c r="D44" s="82" t="n"/>
      <c r="E44" s="77" t="n"/>
      <c r="F44" s="78" t="n"/>
    </row>
    <row r="45" hidden="1" ht="22.5" customHeight="1" s="102">
      <c r="B45" s="74" t="n"/>
      <c r="C45" s="64" t="n"/>
      <c r="D45" s="82" t="n"/>
      <c r="E45" s="77" t="n"/>
      <c r="F45" s="78" t="n"/>
    </row>
    <row r="46" hidden="1" ht="22.5" customHeight="1" s="102">
      <c r="B46" s="74" t="n"/>
      <c r="C46" s="64" t="n"/>
      <c r="D46" s="82" t="n"/>
      <c r="E46" s="77" t="n"/>
      <c r="F46" s="78" t="n"/>
    </row>
    <row r="47" hidden="1" ht="22.5" customHeight="1" s="102">
      <c r="B47" s="74" t="n"/>
      <c r="C47" s="64" t="n"/>
      <c r="D47" s="82" t="n"/>
      <c r="E47" s="77" t="n"/>
      <c r="F47" s="78" t="n"/>
    </row>
    <row r="48" hidden="1" ht="22.5" customHeight="1" s="102">
      <c r="B48" s="74" t="n"/>
      <c r="C48" s="64" t="n"/>
      <c r="D48" s="82" t="n"/>
      <c r="E48" s="77" t="n"/>
      <c r="F48" s="78" t="n"/>
    </row>
    <row r="49" hidden="1" ht="22.5" customHeight="1" s="102">
      <c r="B49" s="74" t="n"/>
      <c r="C49" s="64" t="n"/>
      <c r="D49" s="82" t="n"/>
      <c r="E49" s="77" t="n"/>
      <c r="F49" s="78" t="n"/>
    </row>
    <row r="50" hidden="1" ht="22.5" customHeight="1" s="102">
      <c r="B50" s="74" t="n"/>
      <c r="C50" s="64" t="n"/>
      <c r="D50" s="82" t="n"/>
      <c r="E50" s="77" t="n"/>
      <c r="F50" s="78" t="n"/>
    </row>
    <row r="51" hidden="1" ht="22.5" customHeight="1" s="102">
      <c r="B51" s="74" t="n"/>
      <c r="C51" s="64" t="n"/>
      <c r="D51" s="82" t="n"/>
      <c r="E51" s="77" t="n"/>
      <c r="F51" s="78" t="n"/>
    </row>
    <row r="52" hidden="1" ht="22.5" customHeight="1" s="102">
      <c r="B52" s="74" t="n"/>
      <c r="C52" s="64" t="n"/>
      <c r="D52" s="82" t="n"/>
      <c r="E52" s="77" t="n"/>
      <c r="F52" s="78" t="n"/>
    </row>
    <row r="53" hidden="1" ht="22.5" customHeight="1" s="102">
      <c r="B53" s="74" t="n"/>
      <c r="C53" s="64" t="n"/>
      <c r="D53" s="82" t="n"/>
      <c r="E53" s="77" t="n"/>
      <c r="F53" s="78" t="n"/>
    </row>
    <row r="54" hidden="1" ht="22.5" customHeight="1" s="102">
      <c r="B54" s="74" t="n"/>
      <c r="C54" s="64" t="n"/>
      <c r="D54" s="82" t="n"/>
      <c r="E54" s="77" t="n"/>
      <c r="F54" s="78" t="n"/>
    </row>
    <row r="55" hidden="1" ht="22.5" customHeight="1" s="102">
      <c r="B55" s="74" t="n"/>
      <c r="C55" s="64" t="n"/>
      <c r="D55" s="82" t="n"/>
      <c r="E55" s="77" t="n"/>
      <c r="F55" s="78" t="n"/>
    </row>
    <row r="56" hidden="1" ht="22.5" customHeight="1" s="102">
      <c r="B56" s="74" t="n"/>
      <c r="C56" s="64" t="n"/>
      <c r="D56" s="82" t="n"/>
      <c r="E56" s="77" t="n"/>
      <c r="F56" s="78" t="n"/>
    </row>
    <row r="57" hidden="1" ht="22.5" customHeight="1" s="102">
      <c r="B57" s="74" t="n"/>
      <c r="C57" s="64" t="n"/>
      <c r="D57" s="82" t="n"/>
      <c r="E57" s="77" t="n"/>
      <c r="F57" s="78" t="n"/>
    </row>
    <row r="58" hidden="1" ht="22.5" customHeight="1" s="102">
      <c r="B58" s="74" t="n"/>
      <c r="C58" s="64" t="n"/>
      <c r="D58" s="82" t="n"/>
      <c r="E58" s="77" t="n"/>
      <c r="F58" s="78" t="n"/>
    </row>
    <row r="59" hidden="1" ht="22.5" customHeight="1" s="102">
      <c r="B59" s="74" t="n"/>
      <c r="C59" s="64" t="n"/>
      <c r="D59" s="82" t="n"/>
      <c r="E59" s="77" t="n"/>
      <c r="F59" s="78" t="n"/>
    </row>
    <row r="60" hidden="1" ht="22.5" customHeight="1" s="102">
      <c r="B60" s="74" t="n"/>
      <c r="C60" s="64" t="n"/>
      <c r="D60" s="82" t="n"/>
      <c r="E60" s="77" t="n"/>
      <c r="F60" s="78" t="n"/>
    </row>
    <row r="61" hidden="1" ht="22.5" customHeight="1" s="102">
      <c r="B61" s="74" t="n"/>
      <c r="C61" s="64" t="n"/>
      <c r="D61" s="82" t="n"/>
      <c r="E61" s="77" t="n"/>
      <c r="F61" s="78" t="n"/>
    </row>
    <row r="62" hidden="1" ht="22.5" customHeight="1" s="102">
      <c r="B62" s="74" t="n"/>
      <c r="C62" s="64" t="n"/>
      <c r="D62" s="82" t="n"/>
      <c r="E62" s="77" t="n"/>
      <c r="F62" s="78" t="n"/>
    </row>
    <row r="63" hidden="1" ht="22.5" customHeight="1" s="102">
      <c r="B63" s="74" t="n"/>
      <c r="C63" s="64" t="n"/>
      <c r="D63" s="82" t="n"/>
      <c r="E63" s="77" t="n"/>
      <c r="F63" s="78" t="n"/>
    </row>
    <row r="64" hidden="1" ht="22.5" customHeight="1" s="102">
      <c r="B64" s="74" t="n"/>
      <c r="C64" s="64" t="n"/>
      <c r="D64" s="82" t="n"/>
      <c r="E64" s="77" t="n"/>
      <c r="F64" s="78" t="n"/>
    </row>
    <row r="65" hidden="1" ht="22.5" customHeight="1" s="102">
      <c r="B65" s="74" t="n"/>
      <c r="C65" s="64" t="n"/>
      <c r="D65" s="82" t="n"/>
      <c r="E65" s="77" t="n"/>
      <c r="F65" s="78" t="n"/>
    </row>
    <row r="66" hidden="1" ht="22.5" customHeight="1" s="102">
      <c r="B66" s="74" t="n"/>
      <c r="C66" s="64" t="n"/>
      <c r="D66" s="82" t="n"/>
      <c r="E66" s="77" t="n"/>
      <c r="F66" s="78" t="n"/>
    </row>
    <row r="67" hidden="1" ht="22.5" customHeight="1" s="102">
      <c r="B67" s="74" t="n"/>
      <c r="C67" s="64" t="n"/>
      <c r="D67" s="82" t="n"/>
      <c r="E67" s="77" t="n"/>
      <c r="F67" s="78" t="n"/>
    </row>
    <row r="68" hidden="1" ht="22.5" customHeight="1" s="102">
      <c r="B68" s="74" t="n"/>
      <c r="C68" s="64" t="n"/>
      <c r="D68" s="82" t="n"/>
      <c r="E68" s="77" t="n"/>
      <c r="F68" s="78" t="n"/>
    </row>
    <row r="69" hidden="1" ht="22.5" customHeight="1" s="102">
      <c r="B69" s="74" t="n"/>
      <c r="C69" s="64" t="n"/>
      <c r="D69" s="82" t="n"/>
      <c r="E69" s="77" t="n"/>
      <c r="F69" s="78" t="n"/>
    </row>
    <row r="70" hidden="1" ht="22.5" customHeight="1" s="102">
      <c r="B70" s="74" t="n"/>
      <c r="C70" s="64" t="n"/>
      <c r="D70" s="82" t="n"/>
      <c r="E70" s="77" t="n"/>
      <c r="F70" s="78" t="n"/>
    </row>
    <row r="71" hidden="1" ht="22.5" customHeight="1" s="102">
      <c r="B71" s="74" t="n"/>
      <c r="C71" s="64" t="n"/>
      <c r="D71" s="82" t="n"/>
      <c r="E71" s="77" t="n"/>
      <c r="F71" s="78" t="n"/>
    </row>
    <row r="72" hidden="1" ht="22.5" customHeight="1" s="102">
      <c r="B72" s="74" t="n"/>
      <c r="C72" s="64" t="n"/>
      <c r="D72" s="82" t="n"/>
      <c r="E72" s="77" t="n"/>
      <c r="F72" s="78" t="n"/>
    </row>
    <row r="73" hidden="1" ht="22.5" customHeight="1" s="102">
      <c r="B73" s="74" t="n"/>
      <c r="C73" s="64" t="n"/>
      <c r="D73" s="82" t="n"/>
      <c r="E73" s="77" t="n"/>
      <c r="F73" s="78" t="n"/>
    </row>
    <row r="74" hidden="1" ht="22.5" customHeight="1" s="102">
      <c r="B74" s="74" t="n"/>
      <c r="C74" s="64" t="n"/>
      <c r="D74" s="82" t="n"/>
      <c r="E74" s="77" t="n"/>
      <c r="F74" s="78" t="n"/>
    </row>
    <row r="75" hidden="1" ht="22.5" customHeight="1" s="102">
      <c r="B75" s="74" t="n"/>
      <c r="C75" s="64" t="n"/>
      <c r="D75" s="82" t="n"/>
      <c r="E75" s="77" t="n"/>
      <c r="F75" s="78" t="n"/>
    </row>
    <row r="76" hidden="1" ht="22.5" customHeight="1" s="102">
      <c r="B76" s="74" t="n"/>
      <c r="C76" s="64" t="n"/>
      <c r="D76" s="82" t="n"/>
      <c r="E76" s="77" t="n"/>
      <c r="F76" s="78" t="n"/>
    </row>
    <row r="77" hidden="1" ht="22.5" customHeight="1" s="102">
      <c r="B77" s="74" t="n"/>
      <c r="C77" s="64" t="n"/>
      <c r="D77" s="82" t="n"/>
      <c r="E77" s="77" t="n"/>
      <c r="F77" s="78" t="n"/>
    </row>
    <row r="78" hidden="1" ht="22.5" customHeight="1" s="102">
      <c r="B78" s="74" t="n"/>
      <c r="C78" s="64" t="n"/>
      <c r="D78" s="82" t="n"/>
      <c r="E78" s="77" t="n"/>
      <c r="F78" s="78" t="n"/>
    </row>
    <row r="79" hidden="1" ht="22.5" customHeight="1" s="102">
      <c r="B79" s="74" t="n"/>
      <c r="C79" s="64" t="n"/>
      <c r="D79" s="82" t="n"/>
      <c r="E79" s="77" t="n"/>
      <c r="F79" s="78" t="n"/>
    </row>
    <row r="80" hidden="1" ht="22.5" customHeight="1" s="102">
      <c r="B80" s="74" t="n"/>
      <c r="C80" s="64" t="n"/>
      <c r="D80" s="82" t="n"/>
      <c r="E80" s="77" t="n"/>
      <c r="F80" s="78" t="n"/>
    </row>
    <row r="81" hidden="1" ht="22.5" customHeight="1" s="102">
      <c r="B81" s="74" t="n"/>
      <c r="C81" s="64" t="n"/>
      <c r="D81" s="82" t="n"/>
      <c r="E81" s="77" t="n"/>
      <c r="F81" s="78" t="n"/>
    </row>
    <row r="82" hidden="1" ht="22.5" customHeight="1" s="102">
      <c r="B82" s="74" t="n"/>
      <c r="C82" s="64" t="n"/>
      <c r="D82" s="82" t="n"/>
      <c r="E82" s="77" t="n"/>
      <c r="F82" s="78" t="n"/>
    </row>
    <row r="83" hidden="1" ht="22.5" customHeight="1" s="102">
      <c r="B83" s="74" t="n"/>
      <c r="C83" s="64" t="n"/>
      <c r="D83" s="82" t="n"/>
      <c r="E83" s="77" t="n"/>
      <c r="F83" s="78" t="n"/>
    </row>
    <row r="84" hidden="1" ht="22.5" customHeight="1" s="102">
      <c r="B84" s="74" t="n"/>
      <c r="C84" s="83" t="n"/>
      <c r="D84" s="82" t="n"/>
      <c r="E84" s="77" t="n"/>
      <c r="F84" s="78" t="n"/>
    </row>
    <row r="85" hidden="1" ht="22.5" customHeight="1" s="102">
      <c r="B85" s="74" t="n"/>
      <c r="C85" s="64" t="n"/>
      <c r="D85" s="82" t="n"/>
      <c r="E85" s="77" t="n"/>
      <c r="F85" s="78" t="n"/>
    </row>
    <row r="86" hidden="1" ht="22.5" customHeight="1" s="102">
      <c r="B86" s="74" t="n"/>
      <c r="C86" s="64" t="n"/>
      <c r="D86" s="82" t="n"/>
      <c r="E86" s="77" t="n"/>
      <c r="F86" s="78" t="n"/>
    </row>
    <row r="87" hidden="1" ht="22.5" customHeight="1" s="102">
      <c r="B87" s="74" t="n"/>
      <c r="C87" s="64" t="n"/>
      <c r="D87" s="82" t="n"/>
      <c r="E87" s="77" t="n"/>
      <c r="F87" s="78" t="n"/>
    </row>
    <row r="88" hidden="1" ht="22.5" customHeight="1" s="102">
      <c r="B88" s="74" t="n"/>
      <c r="C88" s="64" t="n"/>
      <c r="D88" s="82" t="n"/>
      <c r="E88" s="77" t="n"/>
      <c r="F88" s="78" t="n"/>
    </row>
    <row r="89" hidden="1" ht="22.5" customHeight="1" s="102">
      <c r="B89" s="74" t="n"/>
      <c r="C89" s="64" t="n"/>
      <c r="D89" s="82" t="n"/>
      <c r="E89" s="77" t="n"/>
      <c r="F89" s="78" t="n"/>
    </row>
    <row r="90" hidden="1" ht="22.5" customHeight="1" s="102">
      <c r="B90" s="74" t="n"/>
      <c r="C90" s="64" t="n"/>
      <c r="D90" s="82" t="n"/>
      <c r="E90" s="77" t="n"/>
      <c r="F90" s="78" t="n"/>
    </row>
    <row r="91" hidden="1" ht="22.5" customHeight="1" s="102">
      <c r="B91" s="74" t="n"/>
      <c r="C91" s="64" t="n"/>
      <c r="D91" s="82" t="n"/>
      <c r="E91" s="77" t="n"/>
      <c r="F91" s="78" t="n"/>
    </row>
    <row r="92" hidden="1" ht="22.5" customHeight="1" s="102">
      <c r="B92" s="74" t="n"/>
      <c r="C92" s="64" t="n"/>
      <c r="D92" s="82" t="n"/>
      <c r="E92" s="77" t="n"/>
      <c r="F92" s="78" t="n"/>
    </row>
    <row r="93" hidden="1" ht="22.5" customHeight="1" s="102">
      <c r="B93" s="74" t="n"/>
      <c r="C93" s="64" t="n"/>
      <c r="D93" s="82" t="n"/>
      <c r="E93" s="77" t="n"/>
      <c r="F93" s="78" t="n"/>
    </row>
    <row r="94" hidden="1" ht="22.5" customHeight="1" s="102">
      <c r="B94" s="74" t="n"/>
      <c r="C94" s="64" t="n"/>
      <c r="D94" s="82" t="n"/>
      <c r="E94" s="77" t="n"/>
      <c r="F94" s="78" t="n"/>
    </row>
    <row r="95" hidden="1" ht="22.5" customHeight="1" s="102">
      <c r="B95" s="74" t="n"/>
      <c r="C95" s="64" t="n"/>
      <c r="D95" s="82" t="n"/>
      <c r="E95" s="77" t="n"/>
      <c r="F95" s="78" t="n"/>
    </row>
    <row r="96" hidden="1" ht="22.5" customHeight="1" s="102">
      <c r="B96" s="74" t="n"/>
      <c r="C96" s="64" t="n"/>
      <c r="D96" s="82" t="n"/>
      <c r="E96" s="77" t="n"/>
      <c r="F96" s="78" t="n"/>
    </row>
    <row r="97" hidden="1" ht="22.5" customHeight="1" s="102">
      <c r="B97" s="74" t="n"/>
      <c r="C97" s="64" t="n"/>
      <c r="D97" s="82" t="n"/>
      <c r="E97" s="77" t="n"/>
      <c r="F97" s="78" t="n"/>
    </row>
    <row r="98" hidden="1" ht="22.5" customHeight="1" s="102">
      <c r="B98" s="74" t="n"/>
      <c r="C98" s="64" t="n"/>
      <c r="D98" s="82" t="n"/>
      <c r="E98" s="77" t="n"/>
      <c r="F98" s="78" t="n"/>
    </row>
    <row r="99" hidden="1" ht="22.5" customHeight="1" s="102">
      <c r="B99" s="74" t="n"/>
      <c r="C99" s="64" t="n"/>
      <c r="D99" s="82" t="n"/>
      <c r="E99" s="77" t="n"/>
      <c r="F99" s="78" t="n"/>
    </row>
    <row r="100" hidden="1" ht="22.5" customHeight="1" s="102">
      <c r="B100" s="74" t="n"/>
      <c r="C100" s="64" t="n"/>
      <c r="D100" s="82" t="n"/>
      <c r="E100" s="77" t="n"/>
      <c r="F100" s="78" t="n"/>
    </row>
    <row r="101" hidden="1" ht="22.5" customHeight="1" s="102">
      <c r="B101" s="74" t="n"/>
      <c r="C101" s="64" t="n"/>
      <c r="D101" s="82" t="n"/>
      <c r="E101" s="77" t="n"/>
      <c r="F101" s="78" t="n"/>
    </row>
    <row r="102" hidden="1" ht="22.5" customHeight="1" s="102">
      <c r="B102" s="74" t="n"/>
      <c r="C102" s="64" t="n"/>
      <c r="D102" s="82" t="n"/>
      <c r="E102" s="77" t="n"/>
      <c r="F102" s="78" t="n"/>
    </row>
    <row r="103" hidden="1" ht="22.5" customHeight="1" s="102">
      <c r="B103" s="74" t="n"/>
      <c r="C103" s="64" t="n"/>
      <c r="D103" s="82" t="n"/>
      <c r="E103" s="77" t="n"/>
      <c r="F103" s="78" t="n"/>
    </row>
    <row r="104" hidden="1" ht="22.5" customHeight="1" s="102">
      <c r="B104" s="74" t="n"/>
      <c r="C104" s="64" t="n"/>
      <c r="D104" s="82" t="n"/>
      <c r="E104" s="77" t="n"/>
      <c r="F104" s="78" t="n"/>
    </row>
    <row r="105" hidden="1" ht="22.5" customHeight="1" s="102">
      <c r="B105" s="74" t="n"/>
      <c r="C105" s="64" t="n"/>
      <c r="D105" s="82" t="n"/>
      <c r="E105" s="77" t="n"/>
      <c r="F105" s="78" t="n"/>
    </row>
    <row r="106" hidden="1" ht="22.5" customHeight="1" s="102">
      <c r="B106" s="74" t="n"/>
      <c r="C106" s="64" t="n"/>
      <c r="D106" s="82" t="n"/>
      <c r="E106" s="77" t="n"/>
      <c r="F106" s="78" t="n"/>
    </row>
    <row r="107" hidden="1" ht="22.5" customHeight="1" s="102">
      <c r="B107" s="74" t="n"/>
      <c r="C107" s="64" t="n"/>
      <c r="D107" s="82" t="n"/>
      <c r="E107" s="77" t="n"/>
      <c r="F107" s="78" t="n"/>
    </row>
    <row r="108" hidden="1" ht="22.5" customHeight="1" s="102">
      <c r="B108" s="74" t="n"/>
      <c r="C108" s="64" t="n"/>
      <c r="D108" s="82" t="n"/>
      <c r="E108" s="77" t="n"/>
      <c r="F108" s="78" t="n"/>
    </row>
    <row r="109" hidden="1" ht="22.5" customHeight="1" s="102">
      <c r="B109" s="74" t="n"/>
      <c r="C109" s="64" t="n"/>
      <c r="D109" s="82" t="n"/>
      <c r="E109" s="77" t="n"/>
      <c r="F109" s="78" t="n"/>
    </row>
    <row r="110" hidden="1" ht="22.5" customHeight="1" s="102">
      <c r="B110" s="74" t="n"/>
      <c r="C110" s="64" t="n"/>
      <c r="D110" s="82" t="n"/>
      <c r="E110" s="77" t="n"/>
      <c r="F110" s="78" t="n"/>
    </row>
    <row r="111" hidden="1" ht="22.5" customHeight="1" s="102">
      <c r="B111" s="74" t="n"/>
      <c r="C111" s="64" t="n"/>
      <c r="D111" s="82" t="n"/>
      <c r="E111" s="77" t="n"/>
      <c r="F111" s="78" t="n"/>
    </row>
    <row r="112" hidden="1" ht="22.5" customHeight="1" s="102">
      <c r="B112" s="74" t="n"/>
      <c r="C112" s="64" t="n"/>
      <c r="D112" s="82" t="n"/>
      <c r="E112" s="77" t="n"/>
      <c r="F112" s="78" t="n"/>
    </row>
    <row r="113" hidden="1" ht="22.5" customHeight="1" s="102">
      <c r="B113" s="74" t="n"/>
      <c r="C113" s="64" t="n"/>
      <c r="D113" s="82" t="n"/>
      <c r="E113" s="77" t="n"/>
      <c r="F113" s="78" t="n"/>
    </row>
    <row r="114" hidden="1" ht="22.5" customHeight="1" s="102">
      <c r="B114" s="74" t="n"/>
      <c r="C114" s="64" t="n"/>
      <c r="D114" s="82" t="n"/>
      <c r="E114" s="77" t="n"/>
      <c r="F114" s="78" t="n"/>
    </row>
    <row r="115" hidden="1" ht="22.5" customHeight="1" s="102">
      <c r="B115" s="74" t="n"/>
      <c r="C115" s="64" t="n"/>
      <c r="D115" s="82" t="n"/>
      <c r="E115" s="77" t="n"/>
      <c r="F115" s="78" t="n"/>
    </row>
    <row r="116" hidden="1" ht="22.5" customHeight="1" s="102">
      <c r="B116" s="74" t="n"/>
      <c r="C116" s="64" t="n"/>
      <c r="D116" s="82" t="n"/>
      <c r="E116" s="77" t="n"/>
      <c r="F116" s="78" t="n"/>
    </row>
    <row r="117" hidden="1" ht="22.5" customHeight="1" s="102">
      <c r="B117" s="74" t="n"/>
      <c r="C117" s="64" t="n"/>
      <c r="D117" s="82" t="n"/>
      <c r="E117" s="77" t="n"/>
      <c r="F117" s="78" t="n"/>
    </row>
    <row r="118" hidden="1" ht="22.5" customHeight="1" s="102">
      <c r="B118" s="74" t="n"/>
      <c r="C118" s="64" t="n"/>
      <c r="D118" s="82" t="n"/>
      <c r="E118" s="77" t="n"/>
      <c r="F118" s="78" t="n"/>
    </row>
    <row r="119" hidden="1" ht="22.5" customHeight="1" s="102">
      <c r="B119" s="74" t="n"/>
      <c r="C119" s="64" t="n"/>
      <c r="D119" s="82" t="n"/>
      <c r="E119" s="77" t="n"/>
      <c r="F119" s="78" t="n"/>
    </row>
    <row r="120" hidden="1" ht="22.5" customHeight="1" s="102">
      <c r="B120" s="74" t="n"/>
      <c r="C120" s="64" t="n"/>
      <c r="D120" s="82" t="n"/>
      <c r="E120" s="77" t="n"/>
      <c r="F120" s="78" t="n"/>
    </row>
    <row r="121" hidden="1" ht="22.5" customHeight="1" s="102">
      <c r="B121" s="74" t="n"/>
      <c r="C121" s="64" t="n"/>
      <c r="D121" s="82" t="n"/>
      <c r="E121" s="77" t="n"/>
      <c r="F121" s="78" t="n"/>
    </row>
    <row r="122" hidden="1" ht="22.5" customHeight="1" s="102">
      <c r="B122" s="74" t="n"/>
      <c r="C122" s="64" t="n"/>
      <c r="D122" s="82" t="n"/>
      <c r="E122" s="77" t="n"/>
      <c r="F122" s="78" t="n"/>
    </row>
    <row r="123" hidden="1" ht="22.5" customHeight="1" s="102">
      <c r="B123" s="74" t="n"/>
      <c r="C123" s="64" t="n"/>
      <c r="D123" s="82" t="n"/>
      <c r="E123" s="77" t="n"/>
      <c r="F123" s="78" t="n"/>
    </row>
    <row r="124" hidden="1" ht="22.5" customHeight="1" s="102">
      <c r="B124" s="74" t="n"/>
      <c r="C124" s="64" t="n"/>
      <c r="D124" s="82" t="n"/>
      <c r="E124" s="77" t="n"/>
      <c r="F124" s="78" t="n"/>
    </row>
    <row r="125" hidden="1" ht="22.5" customHeight="1" s="102">
      <c r="B125" s="74" t="n"/>
      <c r="C125" s="64" t="n"/>
      <c r="D125" s="82" t="n"/>
      <c r="E125" s="77" t="n"/>
      <c r="F125" s="78" t="n"/>
    </row>
    <row r="126" hidden="1" ht="22.5" customHeight="1" s="102">
      <c r="B126" s="74" t="n"/>
      <c r="C126" s="64" t="n"/>
      <c r="D126" s="82" t="n"/>
      <c r="E126" s="77" t="n"/>
      <c r="F126" s="78" t="n"/>
    </row>
    <row r="127" hidden="1" ht="22.5" customHeight="1" s="102">
      <c r="B127" s="74" t="n"/>
      <c r="C127" s="64" t="n"/>
      <c r="D127" s="82" t="n"/>
      <c r="E127" s="77" t="n"/>
      <c r="F127" s="78" t="n"/>
    </row>
    <row r="128" hidden="1" ht="22.5" customHeight="1" s="102">
      <c r="B128" s="74" t="n"/>
      <c r="C128" s="64" t="n"/>
      <c r="D128" s="82" t="n"/>
      <c r="E128" s="77" t="n"/>
      <c r="F128" s="78" t="n"/>
    </row>
    <row r="129" hidden="1" ht="22.5" customHeight="1" s="102">
      <c r="B129" s="74" t="n"/>
      <c r="C129" s="64" t="n"/>
      <c r="D129" s="82" t="n"/>
      <c r="E129" s="77" t="n"/>
      <c r="F129" s="78" t="n"/>
    </row>
    <row r="130" hidden="1" ht="22.5" customHeight="1" s="102">
      <c r="B130" s="74" t="n"/>
      <c r="C130" s="64" t="n"/>
      <c r="D130" s="82" t="n"/>
      <c r="E130" s="77" t="n"/>
      <c r="F130" s="78" t="n"/>
    </row>
    <row r="131" hidden="1" ht="22.5" customHeight="1" s="102">
      <c r="B131" s="74" t="n"/>
      <c r="C131" s="64" t="n"/>
      <c r="D131" s="82" t="n"/>
      <c r="E131" s="77" t="n"/>
      <c r="F131" s="78" t="n"/>
    </row>
    <row r="132" hidden="1" ht="22.5" customHeight="1" s="102">
      <c r="B132" s="74" t="n"/>
      <c r="C132" s="64" t="n"/>
      <c r="D132" s="82" t="n"/>
      <c r="E132" s="77" t="n"/>
      <c r="F132" s="78" t="n"/>
    </row>
    <row r="133" hidden="1" ht="22.5" customHeight="1" s="102">
      <c r="B133" s="74" t="n"/>
      <c r="C133" s="64" t="n"/>
      <c r="D133" s="82" t="n"/>
      <c r="E133" s="77" t="n"/>
      <c r="F133" s="78" t="n"/>
    </row>
    <row r="134" hidden="1" ht="22.5" customHeight="1" s="102">
      <c r="B134" s="74" t="n"/>
      <c r="C134" s="64" t="n"/>
      <c r="D134" s="82" t="n"/>
      <c r="E134" s="77" t="n"/>
      <c r="F134" s="78" t="n"/>
    </row>
    <row r="135" hidden="1" ht="22.5" customHeight="1" s="102">
      <c r="B135" s="74" t="n"/>
      <c r="C135" s="64" t="n"/>
      <c r="D135" s="82" t="n"/>
      <c r="E135" s="77" t="n"/>
      <c r="F135" s="78" t="n"/>
    </row>
    <row r="136" hidden="1" ht="22.5" customHeight="1" s="102">
      <c r="B136" s="74" t="n"/>
      <c r="C136" s="64" t="n"/>
      <c r="D136" s="82" t="n"/>
      <c r="E136" s="77" t="n"/>
      <c r="F136" s="78" t="n"/>
    </row>
    <row r="137" hidden="1" ht="22.5" customHeight="1" s="102">
      <c r="B137" s="74" t="n"/>
      <c r="C137" s="64" t="n"/>
      <c r="D137" s="82" t="n"/>
      <c r="E137" s="77" t="n"/>
      <c r="F137" s="78" t="n"/>
    </row>
    <row r="138" hidden="1" ht="22.5" customHeight="1" s="102">
      <c r="B138" s="74" t="n"/>
      <c r="C138" s="64" t="n"/>
      <c r="D138" s="82" t="n"/>
      <c r="E138" s="77" t="n"/>
      <c r="F138" s="78" t="n"/>
    </row>
    <row r="139" hidden="1" ht="22.5" customHeight="1" s="102">
      <c r="B139" s="74" t="n"/>
      <c r="C139" s="64" t="n"/>
      <c r="D139" s="82" t="n"/>
      <c r="E139" s="77" t="n"/>
      <c r="F139" s="78" t="n"/>
    </row>
    <row r="140" hidden="1" ht="22.5" customHeight="1" s="102">
      <c r="B140" s="74" t="n"/>
      <c r="C140" s="64" t="n"/>
      <c r="D140" s="82" t="n"/>
      <c r="E140" s="77" t="n"/>
      <c r="F140" s="78" t="n"/>
    </row>
    <row r="141" hidden="1" ht="22.5" customHeight="1" s="102">
      <c r="B141" s="74" t="n"/>
      <c r="C141" s="64" t="n"/>
      <c r="D141" s="82" t="n"/>
      <c r="E141" s="77" t="n"/>
      <c r="F141" s="78" t="n"/>
    </row>
    <row r="142" hidden="1" ht="22.5" customHeight="1" s="102">
      <c r="B142" s="74" t="n"/>
      <c r="C142" s="64" t="n"/>
      <c r="D142" s="82" t="n"/>
      <c r="E142" s="77" t="n"/>
      <c r="F142" s="78" t="n"/>
    </row>
    <row r="143" hidden="1" ht="22.5" customHeight="1" s="102">
      <c r="B143" s="74" t="n"/>
      <c r="C143" s="64" t="n"/>
      <c r="D143" s="82" t="n"/>
      <c r="E143" s="77" t="n"/>
      <c r="F143" s="78" t="n"/>
    </row>
    <row r="144" hidden="1" ht="22.5" customHeight="1" s="102">
      <c r="B144" s="74" t="n"/>
      <c r="C144" s="64" t="n"/>
      <c r="D144" s="82" t="n"/>
      <c r="E144" s="77" t="n"/>
      <c r="F144" s="78" t="n"/>
    </row>
    <row r="145" hidden="1" ht="22.5" customHeight="1" s="102">
      <c r="B145" s="74" t="n"/>
      <c r="C145" s="64" t="n"/>
      <c r="D145" s="82" t="n"/>
      <c r="E145" s="77" t="n"/>
      <c r="F145" s="78" t="n"/>
    </row>
    <row r="146" hidden="1" ht="22.5" customHeight="1" s="102">
      <c r="B146" s="74" t="n"/>
      <c r="C146" s="64" t="n"/>
      <c r="D146" s="82" t="n"/>
      <c r="E146" s="77" t="n"/>
      <c r="F146" s="78" t="n"/>
    </row>
    <row r="147" hidden="1" ht="22.5" customHeight="1" s="102">
      <c r="B147" s="74" t="n"/>
      <c r="C147" s="64" t="n"/>
      <c r="D147" s="82" t="n"/>
      <c r="E147" s="77" t="n"/>
      <c r="F147" s="78" t="n"/>
    </row>
    <row r="148" hidden="1" ht="22.5" customHeight="1" s="102">
      <c r="B148" s="74" t="n"/>
      <c r="C148" s="64" t="n"/>
      <c r="D148" s="82" t="n"/>
      <c r="E148" s="77" t="n"/>
      <c r="F148" s="78" t="n"/>
    </row>
    <row r="149" hidden="1" ht="22.5" customHeight="1" s="102">
      <c r="B149" s="74" t="n"/>
      <c r="C149" s="64" t="n"/>
      <c r="D149" s="82" t="n"/>
      <c r="E149" s="77" t="n"/>
      <c r="F149" s="78" t="n"/>
    </row>
    <row r="150" hidden="1" ht="22.5" customHeight="1" s="102">
      <c r="B150" s="74" t="n"/>
      <c r="C150" s="64" t="n"/>
      <c r="D150" s="82" t="n"/>
      <c r="E150" s="77" t="n"/>
      <c r="F150" s="78" t="n"/>
    </row>
    <row r="151" hidden="1" ht="22.5" customHeight="1" s="102">
      <c r="B151" s="74" t="n"/>
      <c r="C151" s="64" t="n"/>
      <c r="D151" s="82" t="n"/>
      <c r="E151" s="77" t="n"/>
      <c r="F151" s="78" t="n"/>
    </row>
    <row r="152" hidden="1" ht="22.5" customHeight="1" s="102">
      <c r="B152" s="74" t="n"/>
      <c r="C152" s="64" t="n"/>
      <c r="D152" s="82" t="n"/>
      <c r="E152" s="77" t="n"/>
      <c r="F152" s="78" t="n"/>
    </row>
    <row r="153" hidden="1" ht="22.5" customHeight="1" s="102">
      <c r="B153" s="74" t="n"/>
      <c r="C153" s="64" t="n"/>
      <c r="D153" s="82" t="n"/>
      <c r="E153" s="77" t="n"/>
      <c r="F153" s="78" t="n"/>
    </row>
    <row r="154" hidden="1" ht="22.5" customHeight="1" s="102">
      <c r="B154" s="74" t="n"/>
      <c r="C154" s="64" t="n"/>
      <c r="D154" s="82" t="n"/>
      <c r="E154" s="77" t="n"/>
      <c r="F154" s="78" t="n"/>
    </row>
    <row r="155" hidden="1" ht="22.5" customHeight="1" s="102">
      <c r="B155" s="74" t="n"/>
      <c r="C155" s="64" t="n"/>
      <c r="D155" s="82" t="n"/>
      <c r="E155" s="77" t="n"/>
      <c r="F155" s="78" t="n"/>
    </row>
    <row r="156" hidden="1" ht="22.5" customHeight="1" s="102">
      <c r="B156" s="74" t="n"/>
      <c r="C156" s="64" t="n"/>
      <c r="D156" s="82" t="n"/>
      <c r="E156" s="77" t="n"/>
      <c r="F156" s="78" t="n"/>
    </row>
    <row r="157" hidden="1" ht="22.5" customHeight="1" s="102">
      <c r="B157" s="74" t="n"/>
      <c r="C157" s="64" t="n"/>
      <c r="D157" s="82" t="n"/>
      <c r="E157" s="77" t="n"/>
      <c r="F157" s="78" t="n"/>
    </row>
    <row r="158" hidden="1" ht="22.5" customHeight="1" s="102">
      <c r="B158" s="74" t="n"/>
      <c r="C158" s="64" t="n"/>
      <c r="D158" s="82" t="n"/>
      <c r="E158" s="77" t="n"/>
      <c r="F158" s="78" t="n"/>
    </row>
    <row r="159" hidden="1" ht="22.5" customHeight="1" s="102">
      <c r="B159" s="74" t="n"/>
      <c r="C159" s="64" t="n"/>
      <c r="D159" s="82" t="n"/>
      <c r="E159" s="84" t="n"/>
      <c r="F159" s="78" t="n"/>
    </row>
    <row r="160" hidden="1" ht="22.5" customHeight="1" s="102">
      <c r="B160" s="74" t="n"/>
      <c r="C160" s="64" t="n"/>
      <c r="D160" s="82" t="n"/>
      <c r="E160" s="77" t="n"/>
      <c r="F160" s="78" t="n"/>
    </row>
    <row r="161" hidden="1" ht="22.5" customHeight="1" s="102">
      <c r="B161" s="74" t="n"/>
      <c r="C161" s="64" t="n"/>
      <c r="D161" s="82" t="n"/>
      <c r="E161" s="77" t="n"/>
      <c r="F161" s="78" t="n"/>
    </row>
    <row r="162" hidden="1" ht="22.5" customHeight="1" s="102">
      <c r="B162" s="74" t="n"/>
      <c r="C162" s="64" t="n"/>
      <c r="D162" s="82" t="n"/>
      <c r="E162" s="77" t="n"/>
      <c r="F162" s="78" t="n"/>
    </row>
    <row r="163" hidden="1" ht="22.5" customHeight="1" s="102">
      <c r="B163" s="74" t="n"/>
      <c r="C163" s="64" t="n"/>
      <c r="D163" s="82" t="n"/>
      <c r="E163" s="77" t="n"/>
      <c r="F163" s="78" t="n"/>
    </row>
    <row r="164" hidden="1" ht="22.5" customHeight="1" s="102">
      <c r="B164" s="74" t="n"/>
      <c r="C164" s="64" t="n"/>
      <c r="D164" s="82" t="n"/>
      <c r="E164" s="77" t="n"/>
      <c r="F164" s="78" t="n"/>
    </row>
    <row r="165" hidden="1" ht="22.5" customHeight="1" s="102">
      <c r="B165" s="74" t="n"/>
      <c r="C165" s="64" t="n"/>
      <c r="D165" s="82" t="n"/>
      <c r="E165" s="77" t="n"/>
      <c r="F165" s="78" t="n"/>
    </row>
    <row r="166" hidden="1" ht="22.5" customHeight="1" s="102">
      <c r="B166" s="74" t="n"/>
      <c r="C166" s="64" t="n"/>
      <c r="D166" s="82" t="n"/>
      <c r="E166" s="77" t="n"/>
      <c r="F166" s="78" t="n"/>
    </row>
    <row r="167" hidden="1" ht="22.5" customHeight="1" s="102">
      <c r="B167" s="74" t="n"/>
      <c r="C167" s="64" t="n"/>
      <c r="D167" s="82" t="n"/>
      <c r="E167" s="77" t="n"/>
      <c r="F167" s="78" t="n"/>
    </row>
    <row r="168" hidden="1" ht="22.5" customHeight="1" s="102">
      <c r="B168" s="74" t="n"/>
      <c r="C168" s="64" t="n"/>
      <c r="D168" s="82" t="n"/>
      <c r="E168" s="77" t="n"/>
      <c r="F168" s="78" t="n"/>
    </row>
    <row r="169" hidden="1" ht="22.5" customHeight="1" s="102">
      <c r="B169" s="74" t="n"/>
      <c r="C169" s="64" t="n"/>
      <c r="D169" s="82" t="n"/>
      <c r="E169" s="77" t="n"/>
      <c r="F169" s="78" t="n"/>
    </row>
    <row r="170" hidden="1" ht="22.5" customHeight="1" s="102">
      <c r="B170" s="74" t="n"/>
      <c r="C170" s="64" t="n"/>
      <c r="D170" s="82" t="n"/>
      <c r="E170" s="77" t="n"/>
      <c r="F170" s="78" t="n"/>
    </row>
    <row r="171" hidden="1" ht="22.5" customHeight="1" s="102">
      <c r="B171" s="74" t="n"/>
      <c r="C171" s="64" t="n"/>
      <c r="D171" s="82" t="n"/>
      <c r="E171" s="77" t="n"/>
      <c r="F171" s="78" t="n"/>
    </row>
    <row r="172" hidden="1" ht="22.5" customHeight="1" s="102">
      <c r="B172" s="74" t="n"/>
      <c r="C172" s="64" t="n"/>
      <c r="D172" s="82" t="n"/>
      <c r="E172" s="77" t="n"/>
      <c r="F172" s="78" t="n"/>
    </row>
    <row r="173" hidden="1" ht="22.5" customHeight="1" s="102">
      <c r="B173" s="74" t="n"/>
      <c r="C173" s="64" t="n"/>
      <c r="D173" s="82" t="n"/>
      <c r="E173" s="77" t="n"/>
      <c r="F173" s="78" t="n"/>
    </row>
    <row r="174" hidden="1" ht="22.5" customHeight="1" s="102">
      <c r="B174" s="74" t="n"/>
      <c r="C174" s="64" t="n"/>
      <c r="D174" s="85" t="n"/>
      <c r="E174" s="77" t="n"/>
      <c r="F174" s="78" t="n"/>
    </row>
    <row r="175" hidden="1" ht="22.5" customHeight="1" s="102">
      <c r="B175" s="74" t="n"/>
      <c r="C175" s="64" t="n"/>
      <c r="D175" s="85" t="n"/>
      <c r="E175" s="77" t="n"/>
      <c r="F175" s="78" t="n"/>
    </row>
    <row r="176" hidden="1" ht="22.5" customHeight="1" s="102">
      <c r="B176" s="74" t="n"/>
      <c r="C176" s="64" t="n"/>
      <c r="D176" s="85" t="n"/>
      <c r="E176" s="77" t="n"/>
      <c r="F176" s="78" t="n"/>
    </row>
    <row r="177" hidden="1" ht="22.5" customHeight="1" s="102">
      <c r="B177" s="74" t="n"/>
      <c r="C177" s="64" t="n"/>
      <c r="D177" s="85" t="n"/>
      <c r="E177" s="77" t="n"/>
      <c r="F177" s="78" t="n"/>
    </row>
    <row r="178" hidden="1" ht="22.5" customHeight="1" s="102">
      <c r="B178" s="74" t="n"/>
      <c r="C178" s="64" t="n"/>
      <c r="D178" s="85" t="n"/>
      <c r="E178" s="77" t="n"/>
      <c r="F178" s="78" t="n"/>
    </row>
    <row r="179" hidden="1" ht="22.5" customHeight="1" s="102">
      <c r="B179" s="74" t="n"/>
      <c r="C179" s="64" t="n"/>
      <c r="D179" s="85" t="n"/>
      <c r="E179" s="77" t="n"/>
      <c r="F179" s="78" t="n"/>
    </row>
    <row r="180" hidden="1" ht="22.5" customHeight="1" s="102">
      <c r="B180" s="74" t="n"/>
      <c r="C180" s="64" t="n"/>
      <c r="D180" s="85" t="n"/>
      <c r="E180" s="77" t="n"/>
      <c r="F180" s="78" t="n"/>
    </row>
    <row r="181" hidden="1" ht="22.5" customHeight="1" s="102">
      <c r="B181" s="74" t="n"/>
      <c r="C181" s="64" t="n"/>
      <c r="D181" s="85" t="n"/>
      <c r="E181" s="77" t="n"/>
      <c r="F181" s="78" t="n"/>
    </row>
    <row r="182" hidden="1" ht="22.5" customHeight="1" s="102">
      <c r="B182" s="74" t="n"/>
      <c r="C182" s="64" t="n"/>
      <c r="D182" s="85" t="n"/>
      <c r="E182" s="77" t="n"/>
      <c r="F182" s="78" t="n"/>
    </row>
    <row r="183" hidden="1" ht="22.5" customHeight="1" s="102">
      <c r="B183" s="74" t="n"/>
      <c r="C183" s="64" t="n"/>
      <c r="D183" s="85" t="n"/>
      <c r="E183" s="77" t="n"/>
      <c r="F183" s="78" t="n"/>
    </row>
    <row r="184" hidden="1" ht="22.5" customHeight="1" s="102">
      <c r="B184" s="74" t="n"/>
      <c r="C184" s="64" t="n"/>
      <c r="D184" s="85" t="n"/>
      <c r="E184" s="77" t="n"/>
      <c r="F184" s="78" t="n"/>
    </row>
    <row r="185" hidden="1" ht="22.5" customHeight="1" s="102">
      <c r="B185" s="74" t="n"/>
      <c r="C185" s="64" t="n"/>
      <c r="D185" s="85" t="n"/>
      <c r="E185" s="77" t="n"/>
      <c r="F185" s="78" t="n"/>
    </row>
    <row r="186" hidden="1" ht="22.5" customHeight="1" s="102">
      <c r="B186" s="74" t="n"/>
      <c r="C186" s="64" t="n"/>
      <c r="D186" s="85" t="n"/>
      <c r="E186" s="77" t="n"/>
      <c r="F186" s="78" t="n"/>
    </row>
    <row r="187" hidden="1" ht="22.5" customHeight="1" s="102">
      <c r="B187" s="74" t="n"/>
      <c r="C187" s="64" t="n"/>
      <c r="D187" s="85" t="n"/>
      <c r="E187" s="77" t="n"/>
      <c r="F187" s="78" t="n"/>
    </row>
    <row r="188" hidden="1" ht="22.5" customHeight="1" s="102">
      <c r="B188" s="74" t="n"/>
      <c r="C188" s="64" t="n"/>
      <c r="D188" s="85" t="n"/>
      <c r="E188" s="77" t="n"/>
      <c r="F188" s="78" t="n"/>
    </row>
    <row r="189" hidden="1" ht="22.5" customHeight="1" s="102">
      <c r="B189" s="74" t="n"/>
      <c r="C189" s="64" t="n"/>
      <c r="D189" s="85" t="n"/>
      <c r="E189" s="77" t="n"/>
      <c r="F189" s="78" t="n"/>
    </row>
    <row r="190" hidden="1" ht="22.5" customHeight="1" s="102">
      <c r="B190" s="74" t="n"/>
      <c r="C190" s="64" t="n"/>
      <c r="D190" s="85" t="n"/>
      <c r="E190" s="77" t="n"/>
      <c r="F190" s="78" t="n"/>
    </row>
    <row r="191" hidden="1" ht="22.5" customHeight="1" s="102">
      <c r="B191" s="74" t="n"/>
      <c r="C191" s="64" t="n"/>
      <c r="D191" s="85" t="n"/>
      <c r="E191" s="77" t="n"/>
      <c r="F191" s="78" t="n"/>
    </row>
    <row r="192" hidden="1" ht="22.5" customHeight="1" s="102">
      <c r="B192" s="74" t="n"/>
      <c r="C192" s="64" t="n"/>
      <c r="D192" s="85" t="n"/>
      <c r="E192" s="77" t="n"/>
      <c r="F192" s="78" t="n"/>
    </row>
    <row r="193" hidden="1" ht="22.5" customHeight="1" s="102">
      <c r="B193" s="74" t="n"/>
      <c r="C193" s="64" t="n"/>
      <c r="D193" s="85" t="n"/>
      <c r="E193" s="77" t="n"/>
      <c r="F193" s="78" t="n"/>
    </row>
    <row r="194" hidden="1" ht="22.5" customHeight="1" s="102">
      <c r="B194" s="74" t="n"/>
      <c r="C194" s="64" t="n"/>
      <c r="D194" s="85" t="n"/>
      <c r="E194" s="77" t="n"/>
      <c r="F194" s="78" t="n"/>
    </row>
    <row r="195" hidden="1" ht="22.5" customHeight="1" s="102">
      <c r="B195" s="74" t="n"/>
      <c r="C195" s="64" t="n"/>
      <c r="D195" s="85" t="n"/>
      <c r="E195" s="77" t="n"/>
      <c r="F195" s="78" t="n"/>
    </row>
    <row r="196" hidden="1" ht="22.5" customHeight="1" s="102">
      <c r="B196" s="74" t="n"/>
      <c r="C196" s="64" t="n"/>
      <c r="D196" s="85" t="n"/>
      <c r="E196" s="77" t="n"/>
      <c r="F196" s="78" t="n"/>
    </row>
    <row r="197" hidden="1" ht="22.5" customHeight="1" s="102">
      <c r="B197" s="74" t="n"/>
      <c r="C197" s="64" t="n"/>
      <c r="D197" s="85" t="n"/>
      <c r="E197" s="77" t="n"/>
      <c r="F197" s="78" t="n"/>
    </row>
    <row r="198" hidden="1" ht="22.5" customHeight="1" s="102">
      <c r="B198" s="74" t="n"/>
      <c r="C198" s="64" t="n"/>
      <c r="D198" s="85" t="n"/>
      <c r="E198" s="77" t="n"/>
      <c r="F198" s="78" t="n"/>
    </row>
    <row r="199" hidden="1" ht="22.5" customHeight="1" s="102">
      <c r="B199" s="74" t="n"/>
      <c r="C199" s="64" t="n"/>
      <c r="D199" s="85" t="n"/>
      <c r="E199" s="77" t="n"/>
      <c r="F199" s="78" t="n"/>
    </row>
    <row r="200" hidden="1" ht="22.5" customHeight="1" s="102">
      <c r="B200" s="74" t="n"/>
      <c r="C200" s="64" t="n"/>
      <c r="D200" s="85" t="n"/>
      <c r="E200" s="77" t="n"/>
      <c r="F200" s="78" t="n"/>
    </row>
    <row r="201" hidden="1" ht="22.5" customHeight="1" s="102">
      <c r="B201" s="74" t="n"/>
      <c r="C201" s="64" t="n"/>
      <c r="D201" s="86" t="n"/>
      <c r="E201" s="77" t="n"/>
      <c r="F201" s="78" t="n"/>
    </row>
    <row r="202" hidden="1" ht="22.5" customHeight="1" s="102">
      <c r="B202" s="74" t="n"/>
      <c r="C202" s="64" t="n"/>
      <c r="D202" s="86" t="n"/>
      <c r="E202" s="77" t="n"/>
      <c r="F202" s="78" t="n"/>
    </row>
    <row r="203" hidden="1" ht="22.5" customHeight="1" s="102">
      <c r="B203" s="74" t="n"/>
      <c r="C203" s="64" t="n"/>
      <c r="D203" s="86" t="n"/>
      <c r="E203" s="77" t="n"/>
      <c r="F203" s="78" t="n"/>
    </row>
    <row r="204" hidden="1" ht="22.5" customHeight="1" s="102">
      <c r="B204" s="74" t="n"/>
      <c r="C204" s="64" t="n"/>
      <c r="D204" s="86" t="n"/>
      <c r="E204" s="77" t="n"/>
      <c r="F204" s="78" t="n"/>
    </row>
    <row r="205" hidden="1" ht="22.5" customHeight="1" s="102">
      <c r="B205" s="74" t="n"/>
      <c r="C205" s="64" t="n"/>
      <c r="D205" s="86" t="n"/>
      <c r="E205" s="77" t="n"/>
      <c r="F205" s="78" t="n"/>
    </row>
    <row r="206" hidden="1" ht="22.5" customHeight="1" s="102">
      <c r="B206" s="74" t="n"/>
      <c r="C206" s="64" t="n"/>
      <c r="D206" s="86" t="n"/>
      <c r="E206" s="77" t="n"/>
      <c r="F206" s="78" t="n"/>
    </row>
    <row r="207" hidden="1" ht="22.5" customHeight="1" s="102">
      <c r="B207" s="74" t="n"/>
      <c r="C207" s="64" t="n"/>
      <c r="D207" s="86" t="n"/>
      <c r="E207" s="77" t="n"/>
      <c r="F207" s="78" t="n"/>
    </row>
    <row r="208" hidden="1" ht="22.5" customHeight="1" s="102">
      <c r="B208" s="74" t="n"/>
      <c r="C208" s="64" t="n"/>
      <c r="D208" s="86" t="n"/>
      <c r="E208" s="77" t="n"/>
      <c r="F208" s="78" t="n"/>
    </row>
    <row r="209" hidden="1" ht="22.5" customHeight="1" s="102">
      <c r="B209" s="74" t="n"/>
      <c r="C209" s="64" t="n"/>
      <c r="D209" s="86" t="n"/>
      <c r="E209" s="77" t="n"/>
      <c r="F209" s="78" t="n"/>
    </row>
    <row r="210" hidden="1" ht="22.5" customHeight="1" s="102">
      <c r="B210" s="74" t="n"/>
      <c r="C210" s="64" t="n"/>
      <c r="D210" s="86" t="n"/>
      <c r="E210" s="77" t="n"/>
      <c r="F210" s="78" t="n"/>
    </row>
    <row r="211" hidden="1" ht="22.5" customHeight="1" s="102">
      <c r="B211" s="74" t="n"/>
      <c r="C211" s="64" t="n"/>
      <c r="D211" s="86" t="n"/>
      <c r="E211" s="77" t="n"/>
      <c r="F211" s="78" t="n"/>
    </row>
    <row r="212" hidden="1" ht="22.5" customHeight="1" s="102">
      <c r="B212" s="74" t="n"/>
      <c r="C212" s="64" t="n"/>
      <c r="D212" s="86" t="n"/>
      <c r="E212" s="77" t="n"/>
      <c r="F212" s="78" t="n"/>
    </row>
    <row r="213" hidden="1" ht="22.5" customHeight="1" s="102">
      <c r="B213" s="74" t="n"/>
      <c r="C213" s="64" t="n"/>
      <c r="D213" s="86" t="n"/>
      <c r="E213" s="77" t="n"/>
      <c r="F213" s="78" t="n"/>
    </row>
    <row r="214" hidden="1" ht="22.5" customHeight="1" s="102">
      <c r="B214" s="74" t="n"/>
      <c r="C214" s="64" t="n"/>
      <c r="D214" s="86" t="n"/>
      <c r="E214" s="77" t="n"/>
      <c r="F214" s="78" t="n"/>
    </row>
    <row r="215" hidden="1" ht="22.5" customHeight="1" s="102">
      <c r="B215" s="74" t="n"/>
      <c r="C215" s="64" t="n"/>
      <c r="D215" s="86" t="n"/>
      <c r="E215" s="77" t="n"/>
      <c r="F215" s="78" t="n"/>
    </row>
    <row r="216" hidden="1" ht="22.5" customHeight="1" s="102">
      <c r="B216" s="74" t="n"/>
      <c r="C216" s="64" t="n"/>
      <c r="D216" s="86" t="n"/>
      <c r="E216" s="77" t="n"/>
      <c r="F216" s="78" t="n"/>
    </row>
    <row r="217" hidden="1" ht="22.5" customHeight="1" s="102">
      <c r="B217" s="74" t="n"/>
      <c r="C217" s="64" t="n"/>
      <c r="D217" s="86" t="n"/>
      <c r="E217" s="77" t="n"/>
      <c r="F217" s="78" t="n"/>
    </row>
    <row r="218" hidden="1" ht="22.5" customHeight="1" s="102">
      <c r="B218" s="74" t="n"/>
      <c r="C218" s="64" t="n"/>
      <c r="D218" s="86" t="n"/>
      <c r="E218" s="77" t="n"/>
      <c r="F218" s="78" t="n"/>
    </row>
    <row r="219" hidden="1" ht="22.5" customHeight="1" s="102">
      <c r="B219" s="74" t="n"/>
      <c r="C219" s="64" t="n"/>
      <c r="D219" s="86" t="n"/>
      <c r="E219" s="77" t="n"/>
      <c r="F219" s="78" t="n"/>
    </row>
    <row r="220" hidden="1" ht="22.5" customHeight="1" s="102">
      <c r="B220" s="74" t="n"/>
      <c r="C220" s="64" t="n"/>
      <c r="D220" s="86" t="n"/>
      <c r="E220" s="77" t="n"/>
      <c r="F220" s="78" t="n"/>
    </row>
    <row r="221" hidden="1" ht="22.5" customHeight="1" s="102">
      <c r="B221" s="74" t="n"/>
      <c r="C221" s="64" t="n"/>
      <c r="D221" s="86" t="n"/>
      <c r="E221" s="77" t="n"/>
      <c r="F221" s="78" t="n"/>
    </row>
    <row r="222" hidden="1" ht="22.5" customHeight="1" s="102">
      <c r="B222" s="74" t="n"/>
      <c r="C222" s="64" t="n"/>
      <c r="D222" s="86" t="n"/>
      <c r="E222" s="77" t="n"/>
      <c r="F222" s="78" t="n"/>
    </row>
    <row r="223" hidden="1" ht="22.5" customHeight="1" s="102">
      <c r="B223" s="74" t="n"/>
      <c r="C223" s="64" t="n"/>
      <c r="D223" s="86" t="n"/>
      <c r="E223" s="77" t="n"/>
      <c r="F223" s="78" t="n"/>
    </row>
    <row r="224" hidden="1" ht="22.5" customHeight="1" s="102">
      <c r="B224" s="74" t="n"/>
      <c r="C224" s="64" t="n"/>
      <c r="D224" s="86" t="n"/>
      <c r="E224" s="77" t="n"/>
      <c r="F224" s="78" t="n"/>
    </row>
    <row r="225" hidden="1" ht="22.5" customHeight="1" s="102">
      <c r="B225" s="74" t="n"/>
      <c r="C225" s="64" t="n"/>
      <c r="D225" s="86" t="n"/>
      <c r="E225" s="77" t="n"/>
      <c r="F225" s="78" t="n"/>
    </row>
    <row r="226" hidden="1" ht="22.5" customHeight="1" s="102">
      <c r="B226" s="74" t="n"/>
      <c r="C226" s="64" t="n"/>
      <c r="D226" s="86" t="n"/>
      <c r="E226" s="77" t="n"/>
      <c r="F226" s="78" t="n"/>
    </row>
    <row r="227" hidden="1" ht="22.5" customHeight="1" s="102">
      <c r="B227" s="74" t="n"/>
      <c r="C227" s="64" t="n"/>
      <c r="D227" s="86" t="n"/>
      <c r="E227" s="77" t="n"/>
      <c r="F227" s="78" t="n"/>
    </row>
    <row r="228" hidden="1" ht="22.5" customHeight="1" s="102">
      <c r="B228" s="74" t="n"/>
      <c r="C228" s="64" t="n"/>
      <c r="D228" s="86" t="n"/>
      <c r="E228" s="77" t="n"/>
      <c r="F228" s="78" t="n"/>
    </row>
    <row r="229" hidden="1" ht="22.5" customHeight="1" s="102">
      <c r="B229" s="74" t="n"/>
      <c r="C229" s="64" t="n"/>
      <c r="D229" s="86" t="n"/>
      <c r="E229" s="77" t="n"/>
      <c r="F229" s="78" t="n"/>
    </row>
    <row r="230" hidden="1" ht="22.5" customHeight="1" s="102">
      <c r="B230" s="74" t="n"/>
      <c r="C230" s="64" t="n"/>
      <c r="D230" s="86" t="n"/>
      <c r="E230" s="77" t="n"/>
      <c r="F230" s="78" t="n"/>
    </row>
    <row r="231" hidden="1" ht="22.5" customHeight="1" s="102">
      <c r="B231" s="74" t="n"/>
      <c r="C231" s="64" t="n"/>
      <c r="D231" s="86" t="n"/>
      <c r="E231" s="77" t="n"/>
      <c r="F231" s="78" t="n"/>
    </row>
    <row r="232" hidden="1" ht="22.5" customHeight="1" s="102">
      <c r="B232" s="74" t="n"/>
      <c r="C232" s="64" t="n"/>
      <c r="D232" s="86" t="n"/>
      <c r="E232" s="77" t="n"/>
      <c r="F232" s="78" t="n"/>
    </row>
    <row r="233" hidden="1" ht="22.5" customHeight="1" s="102">
      <c r="B233" s="74" t="n"/>
      <c r="C233" s="64" t="n"/>
      <c r="D233" s="86" t="n"/>
      <c r="E233" s="77" t="n"/>
      <c r="F233" s="78" t="n"/>
    </row>
    <row r="234" hidden="1" ht="22.5" customHeight="1" s="102">
      <c r="B234" s="74" t="n"/>
      <c r="C234" s="64" t="n"/>
      <c r="D234" s="86" t="n"/>
      <c r="E234" s="77" t="n"/>
      <c r="F234" s="78" t="n"/>
    </row>
    <row r="235" hidden="1" ht="22.5" customHeight="1" s="102">
      <c r="B235" s="74" t="n"/>
      <c r="C235" s="64" t="n"/>
      <c r="D235" s="86" t="n"/>
      <c r="E235" s="77" t="n"/>
      <c r="F235" s="78" t="n"/>
    </row>
    <row r="236" hidden="1" ht="22.5" customHeight="1" s="102">
      <c r="B236" s="74" t="n"/>
      <c r="C236" s="64" t="n"/>
      <c r="D236" s="86" t="n"/>
      <c r="E236" s="77" t="n"/>
      <c r="F236" s="78" t="n"/>
    </row>
    <row r="237" hidden="1" ht="22.5" customHeight="1" s="102">
      <c r="B237" s="74" t="n"/>
      <c r="C237" s="64" t="n"/>
      <c r="D237" s="86" t="n"/>
      <c r="E237" s="77" t="n"/>
      <c r="F237" s="78" t="n"/>
    </row>
    <row r="238" hidden="1" ht="22.5" customHeight="1" s="102">
      <c r="B238" s="74" t="n"/>
      <c r="C238" s="64" t="n"/>
      <c r="D238" s="86" t="n"/>
      <c r="E238" s="77" t="n"/>
      <c r="F238" s="78" t="n"/>
    </row>
    <row r="239" hidden="1" ht="22.5" customHeight="1" s="102">
      <c r="B239" s="74" t="n"/>
      <c r="C239" s="64" t="n"/>
      <c r="D239" s="86" t="n"/>
      <c r="E239" s="77" t="n"/>
      <c r="F239" s="78" t="n"/>
    </row>
    <row r="240" hidden="1" ht="22.5" customHeight="1" s="102">
      <c r="B240" s="74" t="n"/>
      <c r="C240" s="64" t="n"/>
      <c r="D240" s="86" t="n"/>
      <c r="E240" s="77" t="n"/>
      <c r="F240" s="78" t="n"/>
    </row>
    <row r="241" hidden="1" ht="22.5" customHeight="1" s="102">
      <c r="B241" s="74" t="n"/>
      <c r="C241" s="64" t="n"/>
      <c r="D241" s="86" t="n"/>
      <c r="E241" s="77" t="n"/>
      <c r="F241" s="78" t="n"/>
    </row>
    <row r="242" hidden="1" ht="22.5" customHeight="1" s="102">
      <c r="B242" s="74" t="n"/>
      <c r="C242" s="64" t="n"/>
      <c r="D242" s="86" t="n"/>
      <c r="E242" s="77" t="n"/>
      <c r="F242" s="78" t="n"/>
    </row>
    <row r="243" hidden="1" ht="22.5" customHeight="1" s="102">
      <c r="B243" s="74" t="n"/>
      <c r="C243" s="64" t="n"/>
      <c r="D243" s="86" t="n"/>
      <c r="E243" s="77" t="n"/>
      <c r="F243" s="78" t="n"/>
    </row>
    <row r="244" hidden="1" ht="22.5" customHeight="1" s="102">
      <c r="B244" s="74" t="n"/>
      <c r="C244" s="64" t="n"/>
      <c r="D244" s="86" t="n"/>
      <c r="E244" s="77" t="n"/>
      <c r="F244" s="78" t="n"/>
    </row>
    <row r="245" hidden="1" ht="22.5" customHeight="1" s="102">
      <c r="B245" s="74" t="n"/>
      <c r="C245" s="64" t="n"/>
      <c r="D245" s="86" t="n"/>
      <c r="E245" s="77" t="n"/>
      <c r="F245" s="78" t="n"/>
    </row>
    <row r="246" hidden="1" ht="22.5" customHeight="1" s="102">
      <c r="B246" s="74" t="n"/>
      <c r="C246" s="64" t="n"/>
      <c r="D246" s="86" t="n"/>
      <c r="E246" s="77" t="n"/>
      <c r="F246" s="78" t="n"/>
    </row>
    <row r="247" hidden="1" ht="22.5" customHeight="1" s="102">
      <c r="B247" s="74" t="n"/>
      <c r="C247" s="64" t="n"/>
      <c r="D247" s="86" t="n"/>
      <c r="E247" s="77" t="n"/>
      <c r="F247" s="78" t="n"/>
    </row>
    <row r="248" hidden="1" ht="22.5" customHeight="1" s="102">
      <c r="B248" s="74" t="n"/>
      <c r="C248" s="64" t="n"/>
      <c r="D248" s="86" t="n"/>
      <c r="E248" s="77" t="n"/>
      <c r="F248" s="78" t="n"/>
    </row>
    <row r="249" hidden="1" ht="22.5" customHeight="1" s="102">
      <c r="B249" s="74" t="n"/>
      <c r="C249" s="64" t="n"/>
      <c r="D249" s="86" t="n"/>
      <c r="E249" s="77" t="n"/>
      <c r="F249" s="78" t="n"/>
    </row>
    <row r="250" hidden="1" ht="22.5" customHeight="1" s="102">
      <c r="B250" s="74" t="n"/>
      <c r="C250" s="64" t="n"/>
      <c r="D250" s="86" t="n"/>
      <c r="E250" s="77" t="n"/>
      <c r="F250" s="78" t="n"/>
    </row>
    <row r="251" hidden="1" ht="22.5" customHeight="1" s="102">
      <c r="B251" s="74" t="n"/>
      <c r="C251" s="64" t="n"/>
      <c r="D251" s="86" t="n"/>
      <c r="E251" s="77" t="n"/>
      <c r="F251" s="78" t="n"/>
    </row>
    <row r="252" hidden="1" ht="22.5" customHeight="1" s="102">
      <c r="B252" s="74" t="n"/>
      <c r="C252" s="64" t="n"/>
      <c r="D252" s="86" t="n"/>
      <c r="E252" s="77" t="n"/>
      <c r="F252" s="78" t="n"/>
    </row>
    <row r="253" hidden="1" ht="22.5" customHeight="1" s="102">
      <c r="B253" s="74" t="n"/>
      <c r="C253" s="64" t="n"/>
      <c r="D253" s="86" t="n"/>
      <c r="E253" s="77" t="n"/>
      <c r="F253" s="78" t="n"/>
    </row>
    <row r="254" hidden="1" ht="22.5" customHeight="1" s="102">
      <c r="B254" s="74" t="n"/>
      <c r="C254" s="64" t="n"/>
      <c r="D254" s="86" t="n"/>
      <c r="E254" s="77" t="n"/>
      <c r="F254" s="78" t="n"/>
    </row>
    <row r="255" hidden="1" ht="22.5" customHeight="1" s="102">
      <c r="B255" s="74" t="n"/>
      <c r="C255" s="64" t="n"/>
      <c r="D255" s="86" t="n"/>
      <c r="E255" s="77" t="n"/>
      <c r="F255" s="78" t="n"/>
    </row>
    <row r="256" hidden="1" ht="22.5" customHeight="1" s="102">
      <c r="B256" s="74" t="n"/>
      <c r="C256" s="64" t="n"/>
      <c r="D256" s="86" t="n"/>
      <c r="E256" s="77" t="n"/>
      <c r="F256" s="78" t="n"/>
    </row>
    <row r="257" hidden="1" ht="22.5" customHeight="1" s="102">
      <c r="B257" s="74" t="n"/>
      <c r="C257" s="64" t="n"/>
      <c r="D257" s="86" t="n"/>
      <c r="E257" s="77" t="n"/>
      <c r="F257" s="78" t="n"/>
    </row>
    <row r="258" hidden="1" ht="22.5" customHeight="1" s="102">
      <c r="B258" s="74" t="n"/>
      <c r="C258" s="64" t="n"/>
      <c r="D258" s="86" t="n"/>
      <c r="E258" s="77" t="n"/>
      <c r="F258" s="78" t="n"/>
    </row>
    <row r="259" hidden="1" ht="22.5" customHeight="1" s="102">
      <c r="B259" s="74" t="n"/>
      <c r="C259" s="64" t="n"/>
      <c r="D259" s="86" t="n"/>
      <c r="E259" s="77" t="n"/>
      <c r="F259" s="78" t="n"/>
    </row>
    <row r="260" hidden="1" ht="22.5" customHeight="1" s="102">
      <c r="B260" s="74" t="n"/>
      <c r="C260" s="64" t="n"/>
      <c r="D260" s="86" t="n"/>
      <c r="E260" s="77" t="n"/>
      <c r="F260" s="78" t="n"/>
    </row>
    <row r="261" hidden="1" ht="22.5" customHeight="1" s="102">
      <c r="B261" s="74" t="n"/>
      <c r="C261" s="64" t="n"/>
      <c r="D261" s="86" t="n"/>
      <c r="E261" s="77" t="n"/>
      <c r="F261" s="78" t="n"/>
    </row>
    <row r="262" hidden="1" ht="22.5" customHeight="1" s="102">
      <c r="B262" s="74" t="n"/>
      <c r="C262" s="64" t="n"/>
      <c r="D262" s="86" t="n"/>
      <c r="E262" s="77" t="n"/>
      <c r="F262" s="78" t="n"/>
    </row>
    <row r="263" hidden="1" ht="22.5" customHeight="1" s="102">
      <c r="B263" s="74" t="n"/>
      <c r="C263" s="64" t="n"/>
      <c r="D263" s="86" t="n"/>
      <c r="E263" s="77" t="n"/>
      <c r="F263" s="78" t="n"/>
    </row>
    <row r="264" hidden="1" ht="22.5" customHeight="1" s="102">
      <c r="B264" s="74" t="n"/>
      <c r="C264" s="64" t="n"/>
      <c r="D264" s="86" t="n"/>
      <c r="E264" s="77" t="n"/>
      <c r="F264" s="78" t="n"/>
    </row>
    <row r="265" hidden="1" ht="22.5" customHeight="1" s="102">
      <c r="B265" s="74" t="n"/>
      <c r="C265" s="64" t="n"/>
      <c r="D265" s="86" t="n"/>
      <c r="E265" s="77" t="n"/>
      <c r="F265" s="78" t="n"/>
    </row>
    <row r="266" hidden="1" ht="22.5" customHeight="1" s="102">
      <c r="B266" s="74" t="n"/>
      <c r="C266" s="64" t="n"/>
      <c r="D266" s="86" t="n"/>
      <c r="E266" s="77" t="n"/>
      <c r="F266" s="78" t="n"/>
    </row>
    <row r="267" hidden="1" ht="22.5" customHeight="1" s="102">
      <c r="B267" s="74" t="n"/>
      <c r="C267" s="64" t="n"/>
      <c r="D267" s="86" t="n"/>
      <c r="E267" s="77" t="n"/>
      <c r="F267" s="78" t="n"/>
    </row>
    <row r="268" hidden="1" ht="22.5" customHeight="1" s="102">
      <c r="B268" s="74" t="n"/>
      <c r="C268" s="64" t="n"/>
      <c r="D268" s="86" t="n"/>
      <c r="E268" s="77" t="n"/>
      <c r="F268" s="78" t="n"/>
    </row>
    <row r="269" hidden="1" ht="22.5" customHeight="1" s="102">
      <c r="B269" s="74" t="n"/>
      <c r="C269" s="64" t="n"/>
      <c r="D269" s="86" t="n"/>
      <c r="E269" s="77" t="n"/>
      <c r="F269" s="78" t="n"/>
    </row>
    <row r="270" hidden="1" ht="22.5" customHeight="1" s="102">
      <c r="B270" s="74" t="n"/>
      <c r="C270" s="64" t="n"/>
      <c r="D270" s="86" t="n"/>
      <c r="E270" s="77" t="n"/>
      <c r="F270" s="78" t="n"/>
    </row>
    <row r="271" hidden="1" ht="22.5" customHeight="1" s="102">
      <c r="B271" s="74" t="n"/>
      <c r="C271" s="64" t="n"/>
      <c r="D271" s="86" t="n"/>
      <c r="E271" s="77" t="n"/>
      <c r="F271" s="78" t="n"/>
    </row>
    <row r="272" hidden="1" ht="22.5" customHeight="1" s="102">
      <c r="B272" s="74" t="n"/>
      <c r="C272" s="64" t="n"/>
      <c r="D272" s="86" t="n"/>
      <c r="E272" s="77" t="n"/>
      <c r="F272" s="78" t="n"/>
    </row>
    <row r="273" hidden="1" ht="22.5" customHeight="1" s="102">
      <c r="B273" s="74" t="n"/>
      <c r="C273" s="64" t="n"/>
      <c r="D273" s="86" t="n"/>
      <c r="E273" s="77" t="n"/>
      <c r="F273" s="78" t="n"/>
    </row>
    <row r="274" hidden="1" ht="22.5" customHeight="1" s="102">
      <c r="B274" s="74" t="n"/>
      <c r="C274" s="64" t="n"/>
      <c r="D274" s="86" t="n"/>
      <c r="E274" s="77" t="n"/>
      <c r="F274" s="78" t="n"/>
    </row>
    <row r="275" hidden="1" ht="22.5" customHeight="1" s="102">
      <c r="B275" s="74" t="n"/>
      <c r="C275" s="64" t="n"/>
      <c r="D275" s="86" t="n"/>
      <c r="E275" s="77" t="n"/>
      <c r="F275" s="78" t="n"/>
    </row>
    <row r="276" hidden="1" ht="22.5" customHeight="1" s="102">
      <c r="B276" s="74" t="n"/>
      <c r="C276" s="64" t="n"/>
      <c r="D276" s="86" t="n"/>
      <c r="E276" s="77" t="n"/>
      <c r="F276" s="78" t="n"/>
    </row>
    <row r="277" hidden="1" ht="22.5" customHeight="1" s="102">
      <c r="B277" s="74" t="n"/>
      <c r="C277" s="64" t="n"/>
      <c r="D277" s="86" t="n"/>
      <c r="E277" s="77" t="n"/>
      <c r="F277" s="78" t="n"/>
    </row>
    <row r="278" hidden="1" ht="22.5" customHeight="1" s="102">
      <c r="B278" s="74" t="n"/>
      <c r="C278" s="64" t="n"/>
      <c r="D278" s="86" t="n"/>
      <c r="E278" s="77" t="n"/>
      <c r="F278" s="78" t="n"/>
    </row>
    <row r="279" hidden="1" ht="22.5" customHeight="1" s="102">
      <c r="B279" s="74" t="n"/>
      <c r="C279" s="64" t="n"/>
      <c r="D279" s="86" t="n"/>
      <c r="E279" s="77" t="n"/>
      <c r="F279" s="78" t="n"/>
    </row>
    <row r="280" hidden="1" ht="22.5" customHeight="1" s="102">
      <c r="B280" s="74" t="n"/>
      <c r="C280" s="64" t="n"/>
      <c r="D280" s="86" t="n"/>
      <c r="E280" s="77" t="n"/>
      <c r="F280" s="78" t="n"/>
    </row>
    <row r="281" hidden="1" ht="22.5" customHeight="1" s="102">
      <c r="B281" s="74" t="n"/>
      <c r="C281" s="64" t="n"/>
      <c r="D281" s="86" t="n"/>
      <c r="E281" s="77" t="n"/>
      <c r="F281" s="78" t="n"/>
    </row>
    <row r="282" hidden="1" ht="22.5" customHeight="1" s="102">
      <c r="B282" s="74" t="n"/>
      <c r="C282" s="64" t="n"/>
      <c r="D282" s="86" t="n"/>
      <c r="E282" s="77" t="n"/>
      <c r="F282" s="78" t="n"/>
    </row>
    <row r="283" hidden="1" ht="22.5" customHeight="1" s="102">
      <c r="B283" s="74" t="n"/>
      <c r="C283" s="64" t="n"/>
      <c r="D283" s="86" t="n"/>
      <c r="E283" s="77" t="n"/>
      <c r="F283" s="78" t="n"/>
    </row>
    <row r="284" hidden="1" ht="22.5" customHeight="1" s="102">
      <c r="B284" s="74" t="n"/>
      <c r="C284" s="64" t="n"/>
      <c r="D284" s="86" t="n"/>
      <c r="E284" s="77" t="n"/>
      <c r="F284" s="78" t="n"/>
    </row>
    <row r="285" hidden="1" ht="22.5" customHeight="1" s="102">
      <c r="B285" s="74" t="n"/>
      <c r="C285" s="64" t="n"/>
      <c r="D285" s="86" t="n"/>
      <c r="E285" s="77" t="n"/>
      <c r="F285" s="78" t="n"/>
    </row>
    <row r="286" hidden="1" ht="22.5" customHeight="1" s="102">
      <c r="B286" s="74" t="n"/>
      <c r="C286" s="64" t="n"/>
      <c r="D286" s="86" t="n"/>
      <c r="E286" s="77" t="n"/>
      <c r="F286" s="78" t="n"/>
    </row>
    <row r="287" hidden="1" ht="22.5" customHeight="1" s="102">
      <c r="B287" s="74" t="n"/>
      <c r="C287" s="64" t="n"/>
      <c r="D287" s="86" t="n"/>
      <c r="E287" s="77" t="n"/>
      <c r="F287" s="78" t="n"/>
    </row>
    <row r="288" hidden="1" ht="22.5" customHeight="1" s="102">
      <c r="B288" s="74" t="n"/>
      <c r="C288" s="64" t="n"/>
      <c r="D288" s="86" t="n"/>
      <c r="E288" s="77" t="n"/>
      <c r="F288" s="78" t="n"/>
    </row>
    <row r="289" hidden="1" ht="22.5" customHeight="1" s="102">
      <c r="B289" s="74" t="n"/>
      <c r="C289" s="64" t="n"/>
      <c r="D289" s="86" t="n"/>
      <c r="E289" s="77" t="n"/>
      <c r="F289" s="78" t="n"/>
    </row>
    <row r="290" hidden="1" ht="22.5" customHeight="1" s="102">
      <c r="B290" s="74" t="n"/>
      <c r="C290" s="64" t="n"/>
      <c r="D290" s="86" t="n"/>
      <c r="E290" s="77" t="n"/>
      <c r="F290" s="78" t="n"/>
    </row>
    <row r="291" hidden="1" ht="22.5" customHeight="1" s="102">
      <c r="B291" s="74" t="n"/>
      <c r="C291" s="64" t="n"/>
      <c r="D291" s="86" t="n"/>
      <c r="E291" s="77" t="n"/>
      <c r="F291" s="78" t="n"/>
    </row>
    <row r="292" hidden="1" ht="22.5" customHeight="1" s="102">
      <c r="B292" s="74" t="n"/>
      <c r="C292" s="64" t="n"/>
      <c r="D292" s="86" t="n"/>
      <c r="E292" s="77" t="n"/>
      <c r="F292" s="78" t="n"/>
    </row>
    <row r="293" hidden="1" ht="22.5" customHeight="1" s="102">
      <c r="B293" s="74" t="n"/>
      <c r="C293" s="64" t="n"/>
      <c r="D293" s="86" t="n"/>
      <c r="E293" s="77" t="n"/>
      <c r="F293" s="78" t="n"/>
    </row>
    <row r="294" hidden="1" ht="22.5" customHeight="1" s="102">
      <c r="B294" s="74" t="n"/>
      <c r="C294" s="64" t="n"/>
      <c r="D294" s="86" t="n"/>
      <c r="E294" s="77" t="n"/>
      <c r="F294" s="78" t="n"/>
    </row>
    <row r="295" hidden="1" ht="22.5" customHeight="1" s="102">
      <c r="B295" s="74" t="n"/>
      <c r="C295" s="64" t="n"/>
      <c r="D295" s="86" t="n"/>
      <c r="E295" s="77" t="n"/>
      <c r="F295" s="78" t="n"/>
    </row>
    <row r="296" hidden="1" ht="22.5" customHeight="1" s="102">
      <c r="B296" s="74" t="n"/>
      <c r="C296" s="64" t="n"/>
      <c r="D296" s="86" t="n"/>
      <c r="E296" s="77" t="n"/>
      <c r="F296" s="78" t="n"/>
    </row>
    <row r="297" hidden="1" ht="22.5" customHeight="1" s="102">
      <c r="B297" s="74" t="n"/>
      <c r="C297" s="64" t="n"/>
      <c r="D297" s="86" t="n"/>
      <c r="E297" s="77" t="n"/>
      <c r="F297" s="78" t="n"/>
    </row>
    <row r="298" hidden="1" ht="22.5" customHeight="1" s="102">
      <c r="B298" s="74" t="n"/>
      <c r="C298" s="64" t="n"/>
      <c r="D298" s="86" t="n"/>
      <c r="E298" s="77" t="n"/>
      <c r="F298" s="78" t="n"/>
    </row>
    <row r="299" hidden="1" ht="22.5" customHeight="1" s="102">
      <c r="B299" s="74" t="n"/>
      <c r="C299" s="64" t="n"/>
      <c r="D299" s="86" t="n"/>
      <c r="E299" s="77" t="n"/>
      <c r="F299" s="78" t="n"/>
    </row>
    <row r="300" hidden="1" ht="22.5" customHeight="1" s="102">
      <c r="B300" s="74" t="n"/>
      <c r="C300" s="64" t="n"/>
      <c r="D300" s="86" t="n"/>
      <c r="E300" s="77" t="n"/>
      <c r="F300" s="78" t="n"/>
    </row>
    <row r="301" hidden="1" ht="22.5" customHeight="1" s="102">
      <c r="B301" s="74" t="n"/>
      <c r="C301" s="64" t="n"/>
      <c r="D301" s="86" t="n"/>
      <c r="E301" s="77" t="n"/>
      <c r="F301" s="78" t="n"/>
    </row>
    <row r="302" hidden="1" ht="22.5" customHeight="1" s="102">
      <c r="B302" s="74" t="n"/>
      <c r="C302" s="87" t="n"/>
      <c r="D302" s="86" t="n"/>
      <c r="E302" s="77" t="n"/>
      <c r="F302" s="78" t="n"/>
    </row>
    <row r="303" hidden="1" ht="22.5" customHeight="1" s="102">
      <c r="B303" s="74" t="n"/>
      <c r="C303" s="87" t="n"/>
      <c r="D303" s="86" t="n"/>
      <c r="E303" s="77" t="n"/>
      <c r="F303" s="78" t="n"/>
    </row>
    <row r="304" hidden="1" ht="22.5" customHeight="1" s="102">
      <c r="B304" s="74" t="n"/>
      <c r="C304" s="87" t="n"/>
      <c r="D304" s="86" t="n"/>
      <c r="E304" s="77" t="n"/>
      <c r="F304" s="78" t="n"/>
    </row>
    <row r="305" hidden="1" ht="22.5" customHeight="1" s="102">
      <c r="B305" s="74" t="n"/>
      <c r="C305" s="87" t="n"/>
      <c r="D305" s="86" t="n"/>
      <c r="E305" s="77" t="n"/>
      <c r="F305" s="78" t="n"/>
    </row>
    <row r="306" hidden="1" ht="22.5" customHeight="1" s="102">
      <c r="B306" s="74" t="n"/>
      <c r="C306" s="87" t="n"/>
      <c r="D306" s="86" t="n"/>
      <c r="E306" s="77" t="n"/>
      <c r="F306" s="78" t="n"/>
    </row>
    <row r="307" hidden="1" ht="22.5" customHeight="1" s="102">
      <c r="B307" s="74" t="n"/>
      <c r="C307" s="87" t="n"/>
      <c r="D307" s="86" t="n"/>
      <c r="E307" s="77" t="n"/>
      <c r="F307" s="78" t="n"/>
    </row>
    <row r="308" hidden="1" ht="22.5" customHeight="1" s="102">
      <c r="B308" s="74" t="n"/>
      <c r="C308" s="87" t="n"/>
      <c r="D308" s="86" t="n"/>
      <c r="E308" s="77" t="n"/>
      <c r="F308" s="78" t="n"/>
    </row>
    <row r="309" hidden="1" ht="22.5" customHeight="1" s="102">
      <c r="B309" s="74" t="n"/>
      <c r="C309" s="87" t="n"/>
      <c r="D309" s="86" t="n"/>
      <c r="E309" s="77" t="n"/>
      <c r="F309" s="78" t="n"/>
    </row>
    <row r="310" hidden="1" ht="22.5" customHeight="1" s="102">
      <c r="B310" s="74" t="n"/>
      <c r="C310" s="87" t="n"/>
      <c r="D310" s="86" t="n"/>
      <c r="E310" s="77" t="n"/>
      <c r="F310" s="78" t="n"/>
    </row>
    <row r="311" hidden="1" ht="22.5" customHeight="1" s="102">
      <c r="B311" s="74" t="n"/>
      <c r="C311" s="87" t="n"/>
      <c r="D311" s="86" t="n"/>
      <c r="E311" s="77" t="n"/>
      <c r="F311" s="78" t="n"/>
    </row>
    <row r="312" hidden="1" ht="22.5" customHeight="1" s="102">
      <c r="B312" s="74" t="n"/>
      <c r="C312" s="87" t="n"/>
      <c r="D312" s="86" t="n"/>
      <c r="E312" s="77" t="n"/>
      <c r="F312" s="78" t="n"/>
    </row>
    <row r="313" hidden="1" ht="22.5" customHeight="1" s="102">
      <c r="B313" s="74" t="n"/>
      <c r="C313" s="87" t="n"/>
      <c r="D313" s="86" t="n"/>
      <c r="E313" s="77" t="n"/>
      <c r="F313" s="78" t="n"/>
    </row>
    <row r="314" hidden="1" ht="22.5" customHeight="1" s="102">
      <c r="B314" s="74" t="n"/>
      <c r="C314" s="87" t="n"/>
      <c r="D314" s="86" t="n"/>
      <c r="E314" s="77" t="n"/>
      <c r="F314" s="78" t="n"/>
    </row>
    <row r="315" hidden="1" ht="22.5" customHeight="1" s="102">
      <c r="B315" s="74" t="n"/>
      <c r="C315" s="87" t="n"/>
      <c r="D315" s="86" t="n"/>
      <c r="E315" s="77" t="n"/>
      <c r="F315" s="78" t="n"/>
    </row>
    <row r="316" hidden="1" ht="22.5" customHeight="1" s="102">
      <c r="B316" s="74" t="n"/>
      <c r="C316" s="87" t="n"/>
      <c r="D316" s="86" t="n"/>
      <c r="E316" s="77" t="n"/>
      <c r="F316" s="78" t="n"/>
    </row>
    <row r="317" hidden="1" ht="22.5" customHeight="1" s="102">
      <c r="B317" s="74" t="n"/>
      <c r="C317" s="87" t="n"/>
      <c r="D317" s="86" t="n"/>
      <c r="E317" s="77" t="n"/>
      <c r="F317" s="78" t="n"/>
    </row>
    <row r="318" hidden="1" ht="22.5" customHeight="1" s="102">
      <c r="B318" s="74" t="n"/>
      <c r="C318" s="87" t="n"/>
      <c r="D318" s="86" t="n"/>
      <c r="E318" s="77" t="n"/>
      <c r="F318" s="78" t="n"/>
    </row>
    <row r="319" hidden="1" ht="22.5" customHeight="1" s="102">
      <c r="B319" s="74" t="n"/>
      <c r="C319" s="87" t="n"/>
      <c r="D319" s="86" t="n"/>
      <c r="E319" s="77" t="n"/>
      <c r="F319" s="78" t="n"/>
    </row>
    <row r="320" hidden="1" ht="22.5" customHeight="1" s="102">
      <c r="B320" s="74" t="n"/>
      <c r="C320" s="87" t="n"/>
      <c r="D320" s="86" t="n"/>
      <c r="E320" s="77" t="n"/>
      <c r="F320" s="78" t="n"/>
    </row>
    <row r="321" hidden="1" ht="22.5" customHeight="1" s="102">
      <c r="B321" s="74" t="n"/>
      <c r="C321" s="87" t="n"/>
      <c r="D321" s="86" t="n"/>
      <c r="E321" s="77" t="n"/>
      <c r="F321" s="78" t="n"/>
    </row>
    <row r="322" hidden="1" ht="22.5" customHeight="1" s="102">
      <c r="B322" s="74" t="n"/>
      <c r="C322" s="87" t="n"/>
      <c r="D322" s="86" t="n"/>
      <c r="E322" s="77" t="n"/>
      <c r="F322" s="78" t="n"/>
    </row>
    <row r="323" hidden="1" ht="22.5" customHeight="1" s="102">
      <c r="B323" s="74" t="n"/>
      <c r="C323" s="87" t="n"/>
      <c r="D323" s="86" t="n"/>
      <c r="E323" s="77" t="n"/>
      <c r="F323" s="78" t="n"/>
    </row>
    <row r="324" hidden="1" ht="22.5" customHeight="1" s="102">
      <c r="B324" s="74" t="n"/>
      <c r="C324" s="89" t="n"/>
      <c r="D324" s="89" t="n"/>
      <c r="E324" s="77" t="n"/>
      <c r="F324" s="78" t="n"/>
    </row>
    <row r="325" hidden="1" ht="22.5" customHeight="1" s="102">
      <c r="B325" s="74" t="n"/>
      <c r="C325" s="89" t="n"/>
      <c r="D325" s="89" t="n"/>
      <c r="E325" s="77" t="n"/>
      <c r="F325" s="78" t="n"/>
    </row>
    <row r="326" hidden="1" ht="22.5" customHeight="1" s="102">
      <c r="B326" s="74" t="n"/>
      <c r="C326" s="89" t="n"/>
      <c r="D326" s="89" t="n"/>
      <c r="E326" s="77" t="n"/>
      <c r="F326" s="78" t="n"/>
    </row>
    <row r="327" hidden="1" ht="22.5" customHeight="1" s="102">
      <c r="B327" s="74" t="n"/>
      <c r="C327" s="89" t="n"/>
      <c r="D327" s="89" t="n"/>
      <c r="E327" s="77" t="n"/>
      <c r="F327" s="78" t="n"/>
    </row>
    <row r="328" hidden="1" ht="22.5" customHeight="1" s="102">
      <c r="B328" s="74" t="n"/>
      <c r="C328" s="89" t="n"/>
      <c r="D328" s="89" t="n"/>
      <c r="E328" s="77" t="n"/>
      <c r="F328" s="78" t="n"/>
    </row>
    <row r="329" hidden="1" ht="22.5" customHeight="1" s="102">
      <c r="B329" s="74" t="n"/>
      <c r="C329" s="89" t="n"/>
      <c r="D329" s="89" t="n"/>
      <c r="E329" s="77" t="n"/>
      <c r="F329" s="78" t="n"/>
    </row>
    <row r="330" hidden="1" ht="22.5" customHeight="1" s="102">
      <c r="B330" s="74" t="n"/>
      <c r="C330" s="89" t="n"/>
      <c r="D330" s="89" t="n"/>
      <c r="E330" s="77" t="n"/>
      <c r="F330" s="78" t="n"/>
    </row>
    <row r="331" hidden="1" ht="22.5" customHeight="1" s="102">
      <c r="B331" s="74" t="n"/>
      <c r="C331" s="89" t="n"/>
      <c r="D331" s="89" t="n"/>
      <c r="E331" s="77" t="n"/>
      <c r="F331" s="78" t="n"/>
    </row>
    <row r="332" hidden="1" ht="22.5" customHeight="1" s="102">
      <c r="B332" s="74" t="n"/>
      <c r="C332" s="89" t="n"/>
      <c r="D332" s="89" t="n"/>
      <c r="E332" s="77" t="n"/>
      <c r="F332" s="78" t="n"/>
    </row>
    <row r="333" hidden="1" ht="22.5" customHeight="1" s="102">
      <c r="B333" s="74" t="n"/>
      <c r="C333" s="89" t="n"/>
      <c r="D333" s="89" t="n"/>
      <c r="E333" s="77" t="n"/>
      <c r="F333" s="78" t="n"/>
    </row>
    <row r="334" hidden="1" ht="22.5" customHeight="1" s="102">
      <c r="B334" s="74" t="n"/>
      <c r="C334" s="89" t="n"/>
      <c r="D334" s="89" t="n"/>
      <c r="E334" s="77" t="n"/>
      <c r="F334" s="78" t="n"/>
    </row>
    <row r="335" hidden="1" ht="22.5" customHeight="1" s="102">
      <c r="B335" s="74" t="n"/>
      <c r="C335" s="89" t="n"/>
      <c r="D335" s="89" t="n"/>
      <c r="E335" s="77" t="n"/>
      <c r="F335" s="78" t="n"/>
    </row>
    <row r="336" ht="22.5" customHeight="1" s="102">
      <c r="B336" s="74" t="n">
        <v>46056</v>
      </c>
      <c r="C336" s="89" t="inlineStr">
        <is>
          <t>TRANSFERENCIA</t>
        </is>
      </c>
      <c r="D336" s="89" t="inlineStr">
        <is>
          <t>FENOLCIOS</t>
        </is>
      </c>
      <c r="E336" s="77" t="n">
        <v>600500</v>
      </c>
      <c r="F336" s="78" t="n"/>
    </row>
    <row r="337" ht="22.5" customHeight="1" s="102">
      <c r="B337" s="74" t="n">
        <v>46057</v>
      </c>
      <c r="C337" s="89" t="inlineStr">
        <is>
          <t>TRANSFERENCIA</t>
        </is>
      </c>
      <c r="D337" s="89" t="inlineStr">
        <is>
          <t>IMPREGNADOS</t>
        </is>
      </c>
      <c r="E337" s="77" t="n">
        <v>1000000</v>
      </c>
      <c r="F337" s="78" t="n"/>
    </row>
    <row r="338" ht="22.5" customHeight="1" s="102">
      <c r="B338" s="74" t="n">
        <v>46057</v>
      </c>
      <c r="C338" s="89" t="inlineStr">
        <is>
          <t>TRANSFERENCIA</t>
        </is>
      </c>
      <c r="D338" s="89" t="inlineStr">
        <is>
          <t>ALAMO</t>
        </is>
      </c>
      <c r="E338" s="77" t="n">
        <v>281000</v>
      </c>
      <c r="F338" s="78" t="n"/>
    </row>
    <row r="339" ht="22.5" customHeight="1" s="102">
      <c r="B339" s="74" t="n">
        <v>46063</v>
      </c>
      <c r="C339" s="89" t="inlineStr">
        <is>
          <t>TRANSFERENCIA</t>
        </is>
      </c>
      <c r="D339" s="89" t="inlineStr">
        <is>
          <t>MACHIMBRE</t>
        </is>
      </c>
      <c r="E339" s="77" t="n">
        <v>424000</v>
      </c>
      <c r="F339" s="78" t="n"/>
    </row>
    <row r="340" ht="22.5" customHeight="1" s="102">
      <c r="B340" s="74" t="n">
        <v>46064</v>
      </c>
      <c r="C340" s="89" t="inlineStr">
        <is>
          <t>TRANSFERENCIA</t>
        </is>
      </c>
      <c r="D340" s="89" t="inlineStr">
        <is>
          <t>ALAMO</t>
        </is>
      </c>
      <c r="E340" s="77" t="n">
        <v>48000</v>
      </c>
      <c r="F340" s="78" t="n"/>
    </row>
    <row r="341" ht="22.5" customHeight="1" s="102">
      <c r="B341" s="74" t="n">
        <v>46073</v>
      </c>
      <c r="C341" s="89" t="inlineStr">
        <is>
          <t>TRANSFERENCIA</t>
        </is>
      </c>
      <c r="D341" s="89" t="inlineStr">
        <is>
          <t>TERZI</t>
        </is>
      </c>
      <c r="E341" s="77" t="n">
        <v>522000</v>
      </c>
      <c r="F341" s="78" t="n"/>
    </row>
    <row r="342" ht="22.5" customHeight="1" s="102">
      <c r="B342" s="74" t="n">
        <v>46073</v>
      </c>
      <c r="C342" s="89" t="inlineStr">
        <is>
          <t>TRANSFERENCIA</t>
        </is>
      </c>
      <c r="D342" s="89" t="n"/>
      <c r="E342" s="77" t="n">
        <v>280000</v>
      </c>
      <c r="F342" s="78" t="n"/>
    </row>
    <row r="343" ht="22.5" customHeight="1" s="102">
      <c r="B343" s="74" t="n">
        <v>46073</v>
      </c>
      <c r="C343" s="89" t="inlineStr">
        <is>
          <t>EFECTIVO</t>
        </is>
      </c>
      <c r="D343" s="89" t="inlineStr">
        <is>
          <t>PUNTALES</t>
        </is>
      </c>
      <c r="E343" s="77" t="n">
        <v>600000</v>
      </c>
      <c r="F343" s="78" t="n"/>
    </row>
    <row r="344" ht="22.5" customHeight="1" s="102">
      <c r="B344" s="74" t="n">
        <v>46074</v>
      </c>
      <c r="C344" s="89" t="inlineStr">
        <is>
          <t>EFECTIVO</t>
        </is>
      </c>
      <c r="D344" s="89" t="inlineStr">
        <is>
          <t>PEDIDO</t>
        </is>
      </c>
      <c r="E344" s="77" t="n">
        <v>370000</v>
      </c>
      <c r="F344" s="78" t="n"/>
    </row>
    <row r="345" ht="22.5" customHeight="1" s="102">
      <c r="B345" s="74" t="n">
        <v>46074</v>
      </c>
      <c r="C345" s="89" t="inlineStr">
        <is>
          <t>EFECTIVO</t>
        </is>
      </c>
      <c r="D345" s="89" t="inlineStr">
        <is>
          <t>PEDIDO</t>
        </is>
      </c>
      <c r="E345" s="77" t="n">
        <v>1718000</v>
      </c>
      <c r="F345" s="78" t="n"/>
    </row>
    <row r="346" ht="22.5" customHeight="1" s="102">
      <c r="B346" s="74" t="n">
        <v>46074</v>
      </c>
      <c r="C346" s="89" t="inlineStr">
        <is>
          <t>TRANSFERENCIA</t>
        </is>
      </c>
      <c r="D346" s="89" t="inlineStr">
        <is>
          <t>MACHIMBRE</t>
        </is>
      </c>
      <c r="E346" s="77" t="n">
        <v>56000</v>
      </c>
      <c r="F346" s="78" t="n"/>
    </row>
    <row r="347" ht="22.5" customHeight="1" s="102">
      <c r="B347" s="74" t="n">
        <v>46077</v>
      </c>
      <c r="C347" s="89" t="inlineStr">
        <is>
          <t>TRANSFERENCIA</t>
        </is>
      </c>
      <c r="D347" s="89" t="inlineStr">
        <is>
          <t>IMPREGNADOS</t>
        </is>
      </c>
      <c r="E347" s="77" t="n">
        <v>50000</v>
      </c>
      <c r="F347" s="78" t="n"/>
    </row>
    <row r="348" ht="22.5" customHeight="1" s="102">
      <c r="B348" s="74" t="n">
        <v>46077</v>
      </c>
      <c r="C348" s="89" t="inlineStr">
        <is>
          <t>TRANSFERENCIA</t>
        </is>
      </c>
      <c r="D348" s="89" t="inlineStr">
        <is>
          <t>IMPREGNADOS</t>
        </is>
      </c>
      <c r="E348" s="77" t="n">
        <v>1080000</v>
      </c>
      <c r="F348" s="78" t="n"/>
    </row>
    <row r="349" ht="22.5" customHeight="1" s="102">
      <c r="B349" s="74" t="n">
        <v>46078</v>
      </c>
      <c r="C349" s="89" t="inlineStr">
        <is>
          <t>TRANSFERENCIA</t>
        </is>
      </c>
      <c r="D349" s="89" t="inlineStr">
        <is>
          <t>SEÑA</t>
        </is>
      </c>
      <c r="E349" s="77" t="n">
        <v>160000</v>
      </c>
      <c r="F349" s="78" t="n"/>
    </row>
    <row r="350" ht="22.5" customHeight="1" s="102">
      <c r="B350" s="74" t="n">
        <v>46078</v>
      </c>
      <c r="C350" s="89" t="inlineStr">
        <is>
          <t>TRANSFERENCIA</t>
        </is>
      </c>
      <c r="D350" s="89" t="inlineStr">
        <is>
          <t>ALFAJIA</t>
        </is>
      </c>
      <c r="E350" s="77" t="n">
        <v>64000</v>
      </c>
      <c r="F350" s="78" t="n"/>
    </row>
    <row r="351" ht="22.5" customHeight="1" s="102">
      <c r="B351" s="74" t="n">
        <v>46078</v>
      </c>
      <c r="C351" s="89" t="inlineStr">
        <is>
          <t>TRANSFERENCIA</t>
        </is>
      </c>
      <c r="D351" s="89" t="n"/>
      <c r="E351" s="77" t="n">
        <v>165000</v>
      </c>
      <c r="F351" s="78" t="n"/>
    </row>
    <row r="352" ht="22.5" customHeight="1" s="102">
      <c r="B352" s="74" t="n">
        <v>46079</v>
      </c>
      <c r="C352" s="89" t="inlineStr">
        <is>
          <t>TRANSFERENCIA</t>
        </is>
      </c>
      <c r="D352" s="89" t="inlineStr">
        <is>
          <t>ALAMO</t>
        </is>
      </c>
      <c r="E352" s="77" t="n">
        <v>108000</v>
      </c>
      <c r="F352" s="78" t="n"/>
    </row>
    <row r="353" ht="22.5" customHeight="1" s="102">
      <c r="B353" s="74" t="n">
        <v>46083</v>
      </c>
      <c r="C353" s="89" t="inlineStr">
        <is>
          <t>EFECTIVO</t>
        </is>
      </c>
      <c r="D353" s="89" t="inlineStr">
        <is>
          <t>ALAMO</t>
        </is>
      </c>
      <c r="E353" s="77" t="n">
        <v>40000</v>
      </c>
      <c r="F353" s="78" t="n"/>
    </row>
    <row r="354" ht="22.5" customHeight="1" s="102">
      <c r="B354" s="74" t="n">
        <v>46083</v>
      </c>
      <c r="C354" s="89" t="inlineStr">
        <is>
          <t>TRANSFERENCIA</t>
        </is>
      </c>
      <c r="D354" s="89" t="inlineStr">
        <is>
          <t>ROLLIZOS</t>
        </is>
      </c>
      <c r="E354" s="77" t="n">
        <v>32000</v>
      </c>
      <c r="F354" s="78" t="n"/>
    </row>
    <row r="355" ht="22.5" customHeight="1" s="102">
      <c r="B355" s="74" t="n">
        <v>46086</v>
      </c>
      <c r="C355" s="89" t="inlineStr">
        <is>
          <t>DOLARES</t>
        </is>
      </c>
      <c r="D355" s="89" t="inlineStr">
        <is>
          <t>PEDIDO</t>
        </is>
      </c>
      <c r="E355" s="77" t="n">
        <v>1000000</v>
      </c>
      <c r="F355" s="78" t="n"/>
    </row>
    <row r="356" ht="22.5" customHeight="1" s="102">
      <c r="B356" s="74" t="n">
        <v>46087</v>
      </c>
      <c r="C356" s="89" t="inlineStr">
        <is>
          <t>TRANSFERENCIA</t>
        </is>
      </c>
      <c r="D356" s="89" t="inlineStr">
        <is>
          <t>PEDIDO</t>
        </is>
      </c>
      <c r="E356" s="77" t="n">
        <v>5850000</v>
      </c>
      <c r="F356" s="78" t="n"/>
    </row>
    <row r="357" ht="22.5" customHeight="1" s="102">
      <c r="B357" s="74" t="n">
        <v>46091</v>
      </c>
      <c r="C357" s="89" t="inlineStr">
        <is>
          <t>TRANSFERENCIA</t>
        </is>
      </c>
      <c r="D357" s="89" t="inlineStr">
        <is>
          <t>TERZI</t>
        </is>
      </c>
      <c r="E357" s="77" t="n">
        <v>800000</v>
      </c>
      <c r="F357" s="78" t="n"/>
    </row>
    <row r="358" ht="22.5" customHeight="1" s="102">
      <c r="B358" s="74" t="n">
        <v>46098</v>
      </c>
      <c r="C358" s="89" t="inlineStr">
        <is>
          <t>EFECTIVO</t>
        </is>
      </c>
      <c r="D358" s="89" t="inlineStr">
        <is>
          <t>PUNTALES</t>
        </is>
      </c>
      <c r="E358" s="77" t="n">
        <v>100000</v>
      </c>
      <c r="F358" s="78" t="n"/>
    </row>
    <row r="359" ht="22.5" customHeight="1" s="102">
      <c r="B359" s="74" t="n">
        <v>46099</v>
      </c>
      <c r="C359" s="89" t="inlineStr">
        <is>
          <t>EFECTIVO</t>
        </is>
      </c>
      <c r="D359" s="89" t="inlineStr">
        <is>
          <t>ALAMO</t>
        </is>
      </c>
      <c r="E359" s="77" t="n">
        <v>52000</v>
      </c>
      <c r="F359" s="78" t="n"/>
    </row>
    <row r="360" ht="22.5" customHeight="1" s="102">
      <c r="B360" s="74" t="n">
        <v>46099</v>
      </c>
      <c r="C360" s="89" t="inlineStr">
        <is>
          <t>TRANSFERENCIA</t>
        </is>
      </c>
      <c r="D360" s="89" t="inlineStr">
        <is>
          <t>ALAMO</t>
        </is>
      </c>
      <c r="E360" s="77" t="n">
        <v>480000</v>
      </c>
      <c r="F360" s="78" t="n"/>
    </row>
    <row r="361" ht="22.5" customHeight="1" s="102">
      <c r="B361" s="74" t="n">
        <v>46100</v>
      </c>
      <c r="C361" s="89" t="inlineStr">
        <is>
          <t>TRANSFERENCIA</t>
        </is>
      </c>
      <c r="D361" s="89" t="inlineStr">
        <is>
          <t>FENOLICO</t>
        </is>
      </c>
      <c r="E361" s="77" t="n">
        <v>213000</v>
      </c>
      <c r="F361" s="78" t="n"/>
    </row>
    <row r="362" ht="22.5" customHeight="1" s="102">
      <c r="B362" s="74" t="n">
        <v>46100</v>
      </c>
      <c r="C362" s="89" t="inlineStr">
        <is>
          <t>TRANSFERENCIA</t>
        </is>
      </c>
      <c r="D362" s="89" t="inlineStr">
        <is>
          <t>TERZI</t>
        </is>
      </c>
      <c r="E362" s="77" t="n">
        <v>500000</v>
      </c>
      <c r="F362" s="78" t="n"/>
    </row>
    <row r="363" ht="22.5" customHeight="1" s="102">
      <c r="B363" s="74" t="n">
        <v>46111</v>
      </c>
      <c r="C363" s="89" t="inlineStr">
        <is>
          <t>EFECTIVO</t>
        </is>
      </c>
      <c r="D363" s="89" t="inlineStr">
        <is>
          <t>IMPREGNADOS</t>
        </is>
      </c>
      <c r="E363" s="77" t="n">
        <v>237600</v>
      </c>
      <c r="F363" s="78" t="n"/>
    </row>
    <row r="364" ht="22.5" customHeight="1" s="102">
      <c r="B364" s="74" t="n">
        <v>46111</v>
      </c>
      <c r="C364" s="89" t="inlineStr">
        <is>
          <t>TRANSFERENCIA</t>
        </is>
      </c>
      <c r="D364" s="89" t="inlineStr">
        <is>
          <t>IMPREGNADOS</t>
        </is>
      </c>
      <c r="E364" s="77" t="n">
        <v>124000</v>
      </c>
      <c r="F364" s="78" t="n"/>
    </row>
    <row r="365" ht="22.5" customHeight="1" s="102">
      <c r="B365" s="74" t="n">
        <v>46118</v>
      </c>
      <c r="C365" s="89" t="inlineStr">
        <is>
          <t>EFECTIVO</t>
        </is>
      </c>
      <c r="D365" s="89" t="inlineStr">
        <is>
          <t>BRESCA</t>
        </is>
      </c>
      <c r="E365" s="77" t="n">
        <v>3715000</v>
      </c>
      <c r="F365" s="78" t="n"/>
    </row>
    <row r="366" ht="22.5" customHeight="1" s="102">
      <c r="B366" s="74" t="n">
        <v>46118</v>
      </c>
      <c r="C366" s="89" t="inlineStr">
        <is>
          <t>TRANSFERENCIA</t>
        </is>
      </c>
      <c r="D366" s="89" t="inlineStr">
        <is>
          <t>IMPREGNADOS</t>
        </is>
      </c>
      <c r="E366" s="77" t="n">
        <v>264000</v>
      </c>
      <c r="F366" s="78" t="n"/>
    </row>
    <row r="367" ht="22.5" customHeight="1" s="102">
      <c r="B367" s="74" t="n">
        <v>46118</v>
      </c>
      <c r="C367" s="89" t="inlineStr">
        <is>
          <t>TRANSFERENCIA</t>
        </is>
      </c>
      <c r="D367" s="89" t="inlineStr">
        <is>
          <t>ROLLIZOS</t>
        </is>
      </c>
      <c r="E367" s="77" t="n">
        <v>94000</v>
      </c>
      <c r="F367" s="78" t="n"/>
    </row>
    <row r="368" ht="22.5" customHeight="1" s="102">
      <c r="B368" s="74" t="n">
        <v>46125</v>
      </c>
      <c r="C368" s="89" t="inlineStr">
        <is>
          <t>TRANSFERENCIA</t>
        </is>
      </c>
      <c r="D368" s="89" t="inlineStr">
        <is>
          <t>FENOLICO</t>
        </is>
      </c>
      <c r="E368" s="77" t="n">
        <v>380000</v>
      </c>
      <c r="F368" s="78" t="n"/>
    </row>
    <row r="369" ht="22.5" customHeight="1" s="102">
      <c r="B369" s="74" t="n">
        <v>46126</v>
      </c>
      <c r="C369" s="89" t="inlineStr">
        <is>
          <t>TRANSFERENCIA</t>
        </is>
      </c>
      <c r="D369" s="89" t="inlineStr">
        <is>
          <t>PUNTALES</t>
        </is>
      </c>
      <c r="E369" s="77" t="n">
        <v>175000</v>
      </c>
      <c r="F369" s="78" t="n"/>
    </row>
    <row r="370" ht="22.5" customHeight="1" s="102">
      <c r="B370" s="74" t="n">
        <v>46126</v>
      </c>
      <c r="C370" s="89" t="inlineStr">
        <is>
          <t>EFECTIVO</t>
        </is>
      </c>
      <c r="D370" s="89" t="inlineStr">
        <is>
          <t>IMPREGNADOS</t>
        </is>
      </c>
      <c r="E370" s="77" t="n">
        <v>208000</v>
      </c>
      <c r="F370" s="78" t="n"/>
    </row>
    <row r="371" ht="22.5" customHeight="1" s="102">
      <c r="B371" s="74" t="n">
        <v>46126</v>
      </c>
      <c r="C371" s="89" t="inlineStr">
        <is>
          <t>TRANSFERENCIA</t>
        </is>
      </c>
      <c r="D371" s="89" t="inlineStr">
        <is>
          <t>ALAMO</t>
        </is>
      </c>
      <c r="E371" s="77" t="n">
        <v>117500</v>
      </c>
      <c r="F371" s="78" t="n"/>
    </row>
    <row r="372" ht="22.5" customHeight="1" s="102">
      <c r="B372" s="74" t="n">
        <v>46129</v>
      </c>
      <c r="C372" s="89" t="inlineStr">
        <is>
          <t>TRANSFERENCIA</t>
        </is>
      </c>
      <c r="D372" s="89" t="inlineStr">
        <is>
          <t>IMPREGNADOS</t>
        </is>
      </c>
      <c r="E372" s="77" t="n">
        <v>990000</v>
      </c>
      <c r="F372" s="78" t="n"/>
    </row>
    <row r="373" ht="22.5" customHeight="1" s="102">
      <c r="B373" s="74" t="n">
        <v>46129</v>
      </c>
      <c r="C373" s="89" t="inlineStr">
        <is>
          <t>TRANSFERENCIA</t>
        </is>
      </c>
      <c r="D373" s="89" t="inlineStr">
        <is>
          <t>IMPREGNADOS</t>
        </is>
      </c>
      <c r="E373" s="77" t="n">
        <v>336000</v>
      </c>
      <c r="F373" s="78" t="n"/>
    </row>
    <row r="374" ht="22.5" customHeight="1" s="102">
      <c r="B374" s="74" t="n">
        <v>46129</v>
      </c>
      <c r="C374" s="89" t="inlineStr">
        <is>
          <t>TRANSFERENCIA</t>
        </is>
      </c>
      <c r="D374" s="90" t="inlineStr">
        <is>
          <t>VIGAS IMPREG</t>
        </is>
      </c>
      <c r="E374" s="77" t="n">
        <v>225000</v>
      </c>
      <c r="F374" s="78" t="n"/>
    </row>
    <row r="375" ht="22.5" customHeight="1" s="102">
      <c r="B375" s="74" t="n">
        <v>46132</v>
      </c>
      <c r="C375" s="89" t="inlineStr">
        <is>
          <t>TRANSFERENCIA</t>
        </is>
      </c>
      <c r="D375" s="90" t="inlineStr">
        <is>
          <t>PEDIDO</t>
        </is>
      </c>
      <c r="E375" s="77" t="n">
        <v>1117000</v>
      </c>
      <c r="F375" s="78" t="n"/>
    </row>
    <row r="376" ht="22.5" customHeight="1" s="102">
      <c r="B376" s="74" t="n">
        <v>46134</v>
      </c>
      <c r="C376" s="89" t="inlineStr">
        <is>
          <t>TRANSFERENCIA</t>
        </is>
      </c>
      <c r="D376" s="90" t="inlineStr">
        <is>
          <t>IMPREGNADOS</t>
        </is>
      </c>
      <c r="E376" s="77" t="n">
        <v>110000</v>
      </c>
      <c r="F376" s="78" t="n"/>
    </row>
    <row r="377" ht="22.5" customHeight="1" s="102">
      <c r="B377" s="74" t="n">
        <v>46134</v>
      </c>
      <c r="C377" s="89" t="inlineStr">
        <is>
          <t>TRANSFERENCIA</t>
        </is>
      </c>
      <c r="D377" s="90" t="inlineStr">
        <is>
          <t>IMPREGNADOS</t>
        </is>
      </c>
      <c r="E377" s="77" t="n">
        <v>165000</v>
      </c>
      <c r="F377" s="78" t="n"/>
    </row>
    <row r="378" ht="22.5" customHeight="1" s="102">
      <c r="B378" s="74" t="n">
        <v>46134</v>
      </c>
      <c r="C378" s="89" t="inlineStr">
        <is>
          <t>EFECTIVO</t>
        </is>
      </c>
      <c r="D378" s="90" t="inlineStr">
        <is>
          <t>ALFAJIAS</t>
        </is>
      </c>
      <c r="E378" s="77" t="n">
        <v>44000</v>
      </c>
      <c r="F378" s="78" t="n"/>
    </row>
    <row r="379" ht="22.5" customHeight="1" s="102">
      <c r="B379" s="74" t="n">
        <v>46134</v>
      </c>
      <c r="C379" s="89" t="inlineStr">
        <is>
          <t>EFECTIVO</t>
        </is>
      </c>
      <c r="D379" s="90" t="inlineStr">
        <is>
          <t>ALFAJIAS</t>
        </is>
      </c>
      <c r="E379" s="77" t="n">
        <v>90000</v>
      </c>
      <c r="F379" s="78" t="n"/>
    </row>
    <row r="380" ht="22.5" customHeight="1" s="102">
      <c r="B380" s="74" t="n">
        <v>46134</v>
      </c>
      <c r="C380" s="89" t="inlineStr">
        <is>
          <t>EFECTIVO</t>
        </is>
      </c>
      <c r="D380" s="90" t="inlineStr">
        <is>
          <t>IMPREGNADOS</t>
        </is>
      </c>
      <c r="E380" s="77" t="n">
        <v>300000</v>
      </c>
      <c r="F380" s="78" t="n"/>
    </row>
    <row r="381" ht="22.5" customHeight="1" s="102">
      <c r="B381" s="74" t="n">
        <v>46135</v>
      </c>
      <c r="C381" s="89" t="inlineStr">
        <is>
          <t>TRANSFERENCIA</t>
        </is>
      </c>
      <c r="D381" s="90" t="inlineStr">
        <is>
          <t>IMPREGNADOS</t>
        </is>
      </c>
      <c r="E381" s="77" t="n">
        <v>97000</v>
      </c>
      <c r="F381" s="78" t="n"/>
    </row>
    <row r="382" ht="22.5" customHeight="1" s="102">
      <c r="B382" s="74" t="n">
        <v>46139</v>
      </c>
      <c r="C382" s="89" t="inlineStr">
        <is>
          <t>EFECTIVO</t>
        </is>
      </c>
      <c r="D382" s="90" t="inlineStr">
        <is>
          <t>ALAMO</t>
        </is>
      </c>
      <c r="E382" s="77" t="n">
        <v>45000</v>
      </c>
      <c r="F382" s="78" t="n"/>
    </row>
    <row r="383" ht="22.5" customHeight="1" s="102">
      <c r="B383" s="74" t="n">
        <v>46139</v>
      </c>
      <c r="C383" s="89" t="inlineStr">
        <is>
          <t>EFECTIVO</t>
        </is>
      </c>
      <c r="D383" s="90" t="inlineStr">
        <is>
          <t>ALAMO</t>
        </is>
      </c>
      <c r="E383" s="91" t="n">
        <v>459000</v>
      </c>
      <c r="F383" s="78" t="n"/>
    </row>
    <row r="384" ht="22.5" customHeight="1" s="102">
      <c r="B384" s="92" t="n">
        <v>46139</v>
      </c>
      <c r="C384" s="89" t="inlineStr">
        <is>
          <t>EFECTIVO</t>
        </is>
      </c>
      <c r="D384" s="90" t="inlineStr">
        <is>
          <t>ALAMO</t>
        </is>
      </c>
      <c r="E384" s="91" t="n">
        <v>175000</v>
      </c>
      <c r="F384" s="78" t="n"/>
    </row>
    <row r="385" ht="22.5" customHeight="1" s="102">
      <c r="B385" s="92" t="n">
        <v>46141</v>
      </c>
      <c r="C385" s="89" t="inlineStr">
        <is>
          <t>EFECTIVO</t>
        </is>
      </c>
      <c r="D385" s="90" t="inlineStr">
        <is>
          <t>ALAMO</t>
        </is>
      </c>
      <c r="E385" s="91" t="n">
        <v>760000</v>
      </c>
      <c r="F385" s="78" t="n"/>
    </row>
    <row r="386" ht="22.5" customHeight="1" s="102">
      <c r="B386" s="93" t="n">
        <v>46147</v>
      </c>
      <c r="C386" s="89" t="inlineStr">
        <is>
          <t>EFECTIVO</t>
        </is>
      </c>
      <c r="D386" s="90" t="inlineStr">
        <is>
          <t>PEDIDO</t>
        </is>
      </c>
      <c r="E386" s="91" t="n">
        <v>1111000</v>
      </c>
      <c r="F386" s="78" t="n"/>
    </row>
    <row r="387" ht="22.5" customHeight="1" s="102">
      <c r="B387" s="94" t="n">
        <v>46147</v>
      </c>
      <c r="C387" s="89" t="inlineStr">
        <is>
          <t>TRANSFERENCIA</t>
        </is>
      </c>
      <c r="D387" s="90" t="inlineStr">
        <is>
          <t>IMPREGNADOS</t>
        </is>
      </c>
      <c r="E387" s="91" t="n">
        <v>267000</v>
      </c>
      <c r="F387" s="78" t="n"/>
    </row>
    <row r="388" ht="22.5" customHeight="1" s="102">
      <c r="B388" s="92" t="n">
        <v>46150</v>
      </c>
      <c r="C388" s="89" t="inlineStr">
        <is>
          <t>EFECTIVO</t>
        </is>
      </c>
      <c r="D388" s="90" t="inlineStr">
        <is>
          <t>IMPREGNADOS</t>
        </is>
      </c>
      <c r="E388" s="91" t="n">
        <v>220000</v>
      </c>
      <c r="F388" s="78" t="n"/>
    </row>
    <row r="389" ht="22.5" customHeight="1" s="102">
      <c r="B389" s="92" t="n">
        <v>46154</v>
      </c>
      <c r="C389" s="89" t="inlineStr">
        <is>
          <t>TRANSFERENCIA</t>
        </is>
      </c>
      <c r="D389" s="90" t="inlineStr">
        <is>
          <t>IMPREGNADOS</t>
        </is>
      </c>
      <c r="E389" s="91" t="n">
        <v>186000</v>
      </c>
      <c r="F389" s="78" t="n"/>
    </row>
    <row r="390" ht="22.5" customHeight="1" s="102">
      <c r="B390" s="92" t="n">
        <v>46161</v>
      </c>
      <c r="C390" s="89" t="inlineStr">
        <is>
          <t>EFECTIVO</t>
        </is>
      </c>
      <c r="D390" s="90" t="inlineStr">
        <is>
          <t>PEDIDO</t>
        </is>
      </c>
      <c r="E390" s="91" t="n">
        <v>1573000</v>
      </c>
      <c r="F390" s="78" t="n"/>
    </row>
    <row r="391" ht="22.5" customHeight="1" s="102">
      <c r="B391" s="92" t="n">
        <v>46162</v>
      </c>
      <c r="C391" s="89" t="inlineStr">
        <is>
          <t>EFECTIVO</t>
        </is>
      </c>
      <c r="D391" s="90" t="inlineStr">
        <is>
          <t>PEDIDO</t>
        </is>
      </c>
      <c r="E391" s="91" t="n">
        <v>1437000</v>
      </c>
      <c r="F391" s="78" t="n"/>
    </row>
    <row r="392" ht="22.5" customHeight="1" s="102">
      <c r="B392" s="92" t="n">
        <v>46163</v>
      </c>
      <c r="C392" s="89" t="inlineStr">
        <is>
          <t>EFECTIVO</t>
        </is>
      </c>
      <c r="D392" s="90" t="inlineStr">
        <is>
          <t>PUNTALES</t>
        </is>
      </c>
      <c r="E392" s="91" t="n">
        <v>100000</v>
      </c>
      <c r="F392" s="78" t="n"/>
    </row>
    <row r="393" ht="22.5" customHeight="1" s="102">
      <c r="B393" s="92" t="n">
        <v>46170</v>
      </c>
      <c r="C393" s="89" t="inlineStr">
        <is>
          <t>TRANSFERENCIA</t>
        </is>
      </c>
      <c r="D393" s="90" t="inlineStr">
        <is>
          <t>PEDIDO</t>
        </is>
      </c>
      <c r="E393" s="91" t="n">
        <v>420000</v>
      </c>
      <c r="F393" s="78" t="n"/>
    </row>
    <row r="394" ht="22.5" customHeight="1" s="102">
      <c r="B394" s="96" t="n">
        <v>46174</v>
      </c>
      <c r="C394" s="89" t="inlineStr">
        <is>
          <t>TRANSFERENCIA</t>
        </is>
      </c>
      <c r="D394" s="90" t="inlineStr">
        <is>
          <t>PEDIDO</t>
        </is>
      </c>
      <c r="E394" s="91" t="n">
        <v>416000</v>
      </c>
      <c r="F394" s="78" t="n"/>
    </row>
    <row r="395" ht="22.5" customHeight="1" s="102">
      <c r="B395" s="96" t="n">
        <v>46175</v>
      </c>
      <c r="C395" s="89" t="inlineStr">
        <is>
          <t>TRANSFERENCIA</t>
        </is>
      </c>
      <c r="D395" s="90" t="inlineStr">
        <is>
          <t>PEDIO</t>
        </is>
      </c>
      <c r="E395" s="91" t="n">
        <v>100000</v>
      </c>
      <c r="F395" s="78" t="n"/>
    </row>
    <row r="396" ht="22.5" customHeight="1" s="102">
      <c r="B396" s="96" t="n">
        <v>46175</v>
      </c>
      <c r="C396" s="89" t="inlineStr">
        <is>
          <t>DEBITO</t>
        </is>
      </c>
      <c r="D396" s="90" t="inlineStr">
        <is>
          <t>IMPREGNADOS</t>
        </is>
      </c>
      <c r="E396" s="91" t="n">
        <v>264000</v>
      </c>
      <c r="F396" s="78" t="n"/>
    </row>
    <row r="397" ht="22.5" customHeight="1" s="102">
      <c r="B397" s="96" t="n">
        <v>46177</v>
      </c>
      <c r="C397" s="89" t="inlineStr">
        <is>
          <t>EFECTIVO</t>
        </is>
      </c>
      <c r="D397" s="90" t="inlineStr">
        <is>
          <t>PEDIDO</t>
        </is>
      </c>
      <c r="E397" s="91" t="n">
        <v>445500</v>
      </c>
      <c r="F397" s="78" t="n"/>
    </row>
    <row r="398" ht="22.5" customHeight="1" s="102">
      <c r="B398" s="96" t="n">
        <v>46177</v>
      </c>
      <c r="C398" s="89" t="inlineStr">
        <is>
          <t>TRANSFERENCIA</t>
        </is>
      </c>
      <c r="D398" s="90" t="inlineStr">
        <is>
          <t>PEDIDO</t>
        </is>
      </c>
      <c r="E398" s="91" t="n">
        <v>2596000</v>
      </c>
      <c r="F398" s="78" t="n"/>
    </row>
    <row r="399" ht="22.5" customHeight="1" s="102">
      <c r="B399" s="96" t="n">
        <v>46181</v>
      </c>
      <c r="C399" s="89" t="inlineStr">
        <is>
          <t>EFECTIVO</t>
        </is>
      </c>
      <c r="D399" s="90" t="inlineStr">
        <is>
          <t>FENOLICO</t>
        </is>
      </c>
      <c r="E399" s="91" t="n">
        <v>390000</v>
      </c>
      <c r="F399" s="78" t="n"/>
    </row>
    <row r="400" ht="22.5" customHeight="1" s="102">
      <c r="B400" s="96" t="n">
        <v>46189</v>
      </c>
      <c r="C400" s="89" t="inlineStr">
        <is>
          <t>EFECTIVO</t>
        </is>
      </c>
      <c r="D400" s="90" t="inlineStr">
        <is>
          <t>PUNTALES</t>
        </is>
      </c>
      <c r="E400" s="91" t="n">
        <v>200000</v>
      </c>
      <c r="F400" s="78" t="n"/>
    </row>
    <row r="401" ht="22.5" customHeight="1" s="102">
      <c r="B401" s="96" t="n">
        <v>46189</v>
      </c>
      <c r="C401" s="89" t="inlineStr">
        <is>
          <t>EFECTIVO</t>
        </is>
      </c>
      <c r="D401" s="90" t="inlineStr">
        <is>
          <t>ROLLIZOS</t>
        </is>
      </c>
      <c r="E401" s="91" t="n">
        <v>297000</v>
      </c>
      <c r="F401" s="78" t="n"/>
    </row>
    <row r="402" ht="22.5" customHeight="1" s="102">
      <c r="B402" s="96" t="n">
        <v>46189</v>
      </c>
      <c r="C402" s="89" t="inlineStr">
        <is>
          <t>EFECTIVO</t>
        </is>
      </c>
      <c r="D402" s="90" t="inlineStr">
        <is>
          <t>IMPREGNADOS</t>
        </is>
      </c>
      <c r="E402" s="91" t="n">
        <v>150000</v>
      </c>
      <c r="F402" s="78" t="n"/>
    </row>
    <row r="403" ht="22.5" customHeight="1" s="102">
      <c r="B403" s="96" t="n">
        <v>46192</v>
      </c>
      <c r="C403" s="89" t="n"/>
      <c r="D403" s="90" t="inlineStr">
        <is>
          <t>PEDIDO</t>
        </is>
      </c>
      <c r="E403" s="91" t="n">
        <v>1000000</v>
      </c>
      <c r="F403" s="78" t="n"/>
    </row>
    <row r="404" ht="22.5" customHeight="1" s="102">
      <c r="B404" s="96" t="n">
        <v>46192</v>
      </c>
      <c r="C404" s="89" t="inlineStr">
        <is>
          <t>TRANSFERENCIA</t>
        </is>
      </c>
      <c r="D404" s="90" t="inlineStr">
        <is>
          <t>PEDIDO</t>
        </is>
      </c>
      <c r="E404" s="91" t="n">
        <v>768000</v>
      </c>
      <c r="F404" s="78" t="n"/>
    </row>
    <row r="405" ht="22.5" customHeight="1" s="102">
      <c r="B405" s="96" t="n">
        <v>46192</v>
      </c>
      <c r="C405" s="89" t="inlineStr">
        <is>
          <t>TRANSFERENCIA</t>
        </is>
      </c>
      <c r="D405" s="90" t="inlineStr">
        <is>
          <t>PEDIDO</t>
        </is>
      </c>
      <c r="E405" s="91" t="n">
        <v>1035000</v>
      </c>
      <c r="F405" s="78" t="n"/>
    </row>
    <row r="406" ht="22.5" customHeight="1" s="102">
      <c r="B406" s="96" t="n">
        <v>46196</v>
      </c>
      <c r="C406" s="89" t="inlineStr">
        <is>
          <t>TRANSFERENCIA</t>
        </is>
      </c>
      <c r="D406" s="90" t="inlineStr">
        <is>
          <t>ALFAJIAS</t>
        </is>
      </c>
      <c r="E406" s="91" t="n">
        <v>239000</v>
      </c>
      <c r="F406" s="78" t="n"/>
    </row>
    <row r="407" ht="22.5" customHeight="1" s="102">
      <c r="B407" s="96" t="n">
        <v>46196</v>
      </c>
      <c r="C407" s="89" t="inlineStr">
        <is>
          <t>EFECTIVO</t>
        </is>
      </c>
      <c r="D407" s="90" t="inlineStr">
        <is>
          <t>PUNTALES</t>
        </is>
      </c>
      <c r="E407" s="91" t="n">
        <v>1200000</v>
      </c>
      <c r="F407" s="78" t="n"/>
    </row>
    <row r="408" ht="22.5" customHeight="1" s="102">
      <c r="B408" s="96" t="n">
        <v>46197</v>
      </c>
      <c r="C408" s="89" t="inlineStr">
        <is>
          <t>EFECTIVO</t>
        </is>
      </c>
      <c r="D408" s="90" t="inlineStr">
        <is>
          <t>IMPREGNADOS</t>
        </is>
      </c>
      <c r="E408" s="91" t="n">
        <v>441000</v>
      </c>
      <c r="F408" s="78" t="n"/>
    </row>
    <row r="409" ht="22.5" customHeight="1" s="102">
      <c r="B409" s="96" t="n">
        <v>46199</v>
      </c>
      <c r="C409" s="89" t="inlineStr">
        <is>
          <t>EFECTIVO</t>
        </is>
      </c>
      <c r="D409" s="90" t="inlineStr">
        <is>
          <t>SEÑA PEDIDO</t>
        </is>
      </c>
      <c r="E409" s="91" t="n">
        <v>1200000</v>
      </c>
      <c r="F409" s="78" t="n"/>
    </row>
    <row r="410" ht="22.5" customHeight="1" s="102">
      <c r="B410" s="96" t="n">
        <v>46216</v>
      </c>
      <c r="C410" s="89" t="inlineStr">
        <is>
          <t>TRANSFERENCIA</t>
        </is>
      </c>
      <c r="D410" s="90" t="inlineStr">
        <is>
          <t>PEDIDO</t>
        </is>
      </c>
      <c r="E410" s="91" t="n">
        <v>1789000</v>
      </c>
      <c r="F410" s="78" t="n"/>
    </row>
    <row r="411" ht="22.5" customHeight="1" s="102">
      <c r="B411" s="96" t="n">
        <v>46219</v>
      </c>
      <c r="C411" s="89" t="inlineStr">
        <is>
          <t>TRANSFERENCIA</t>
        </is>
      </c>
      <c r="D411" s="90" t="inlineStr">
        <is>
          <t>PEDIDO</t>
        </is>
      </c>
      <c r="E411" s="91" t="n">
        <v>725000</v>
      </c>
      <c r="F411" s="78" t="n"/>
    </row>
    <row r="412" ht="22.5" customHeight="1" s="102">
      <c r="B412" s="96" t="n">
        <v>46219</v>
      </c>
      <c r="C412" s="89" t="inlineStr">
        <is>
          <t>TRANSFERENCIA</t>
        </is>
      </c>
      <c r="D412" s="90" t="inlineStr">
        <is>
          <t>PEDIDO</t>
        </is>
      </c>
      <c r="E412" s="91" t="n">
        <v>288000</v>
      </c>
      <c r="F412" s="78" t="n"/>
    </row>
    <row r="413" ht="22.5" customHeight="1" s="102">
      <c r="B413" s="96" t="n">
        <v>46231</v>
      </c>
      <c r="C413" s="89" t="inlineStr">
        <is>
          <t>TRANSFERENCIA</t>
        </is>
      </c>
      <c r="D413" s="90" t="inlineStr">
        <is>
          <t>PEDIDO</t>
        </is>
      </c>
      <c r="E413" s="91" t="n">
        <v>1560000</v>
      </c>
      <c r="F413" s="78" t="n"/>
    </row>
    <row r="414" ht="22.5" customHeight="1" s="102">
      <c r="B414" s="96" t="n">
        <v>46232</v>
      </c>
      <c r="C414" s="89" t="inlineStr">
        <is>
          <t>EFECTIVO</t>
        </is>
      </c>
      <c r="D414" s="90" t="inlineStr">
        <is>
          <t>PEDIDO</t>
        </is>
      </c>
      <c r="E414" s="91" t="n">
        <v>1800000</v>
      </c>
      <c r="F414" s="78" t="n"/>
    </row>
    <row r="415" ht="22.5" customHeight="1" s="102">
      <c r="B415" s="96" t="n">
        <v>46254</v>
      </c>
      <c r="C415" s="89" t="inlineStr">
        <is>
          <t>TRANSFERENCIA</t>
        </is>
      </c>
      <c r="D415" s="90" t="inlineStr">
        <is>
          <t>PEDIDO</t>
        </is>
      </c>
      <c r="E415" s="91" t="n">
        <v>1400000</v>
      </c>
      <c r="F415" s="78" t="n"/>
    </row>
    <row r="416" ht="22.5" customHeight="1" s="102">
      <c r="B416" s="96" t="n">
        <v>46254</v>
      </c>
      <c r="C416" s="89" t="inlineStr">
        <is>
          <t>TRANSFERENCIA</t>
        </is>
      </c>
      <c r="D416" s="90" t="inlineStr">
        <is>
          <t>PEDIDO</t>
        </is>
      </c>
      <c r="E416" s="91" t="n">
        <v>278000</v>
      </c>
      <c r="F416" s="78" t="n"/>
    </row>
    <row r="417" ht="22.5" customHeight="1" s="102">
      <c r="B417" s="96" t="n">
        <v>46254</v>
      </c>
      <c r="C417" s="89" t="inlineStr">
        <is>
          <t>TRANSFERENCIA</t>
        </is>
      </c>
      <c r="D417" s="90" t="inlineStr">
        <is>
          <t>PEDIDO</t>
        </is>
      </c>
      <c r="E417" s="91" t="n">
        <v>528000</v>
      </c>
      <c r="F417" s="78" t="n"/>
    </row>
    <row r="418" ht="22.5" customHeight="1" s="102">
      <c r="B418" s="96" t="n">
        <v>46255</v>
      </c>
      <c r="C418" s="89" t="inlineStr">
        <is>
          <t>TRANSFERENCIA</t>
        </is>
      </c>
      <c r="D418" s="97" t="inlineStr">
        <is>
          <t>AVA</t>
        </is>
      </c>
      <c r="E418" s="91" t="n">
        <v>53822244</v>
      </c>
      <c r="F418" s="78" t="n"/>
    </row>
    <row r="419" ht="22.5" customHeight="1" s="102">
      <c r="B419" s="96" t="n">
        <v>46256</v>
      </c>
      <c r="C419" s="89" t="inlineStr">
        <is>
          <t>TRANSFERENCIA</t>
        </is>
      </c>
      <c r="D419" s="90" t="inlineStr">
        <is>
          <t>PIEDRA NEGRA</t>
        </is>
      </c>
      <c r="E419" s="91" t="n">
        <v>1694000</v>
      </c>
      <c r="F419" s="78" t="n"/>
    </row>
    <row r="420" ht="22.5" customHeight="1" s="102">
      <c r="B420" s="96" t="n">
        <v>46267</v>
      </c>
      <c r="C420" s="89" t="inlineStr">
        <is>
          <t>TRANSFERENCIA</t>
        </is>
      </c>
      <c r="D420" s="90" t="n"/>
      <c r="E420" s="91" t="n">
        <v>373000</v>
      </c>
      <c r="F420" s="78" t="n"/>
    </row>
    <row r="421" ht="22.5" customHeight="1" s="102">
      <c r="B421" s="96" t="n">
        <v>46276</v>
      </c>
      <c r="C421" s="89" t="inlineStr">
        <is>
          <t>TRANSFERENCIA</t>
        </is>
      </c>
      <c r="D421" s="90" t="n"/>
      <c r="E421" s="91" t="n">
        <v>497000</v>
      </c>
      <c r="F421" s="78" t="n"/>
    </row>
    <row r="422" ht="22.5" customHeight="1" s="102">
      <c r="B422" s="96" t="n">
        <v>46280</v>
      </c>
      <c r="C422" s="89" t="inlineStr">
        <is>
          <t>TRANSFERENCIA</t>
        </is>
      </c>
      <c r="D422" s="90" t="n"/>
      <c r="E422" s="91" t="n">
        <v>315000</v>
      </c>
      <c r="F422" s="78" t="n"/>
    </row>
    <row r="423" ht="22.5" customHeight="1" s="102">
      <c r="B423" s="96" t="n">
        <v>46283</v>
      </c>
      <c r="C423" s="89" t="inlineStr">
        <is>
          <t>TRANSFERENCIA</t>
        </is>
      </c>
      <c r="D423" s="90" t="n"/>
      <c r="E423" s="91" t="n">
        <v>248000</v>
      </c>
      <c r="F423" s="78" t="n"/>
    </row>
    <row r="424" ht="22.5" customHeight="1" s="102">
      <c r="B424" s="96" t="n">
        <v>46287</v>
      </c>
      <c r="C424" s="89" t="inlineStr">
        <is>
          <t>EFECTIVO</t>
        </is>
      </c>
      <c r="D424" s="90" t="n"/>
      <c r="E424" s="91" t="n">
        <v>1336500</v>
      </c>
      <c r="F424" s="78" t="n"/>
    </row>
    <row r="425" ht="22.5" customHeight="1" s="102">
      <c r="B425" s="96" t="n">
        <v>46287</v>
      </c>
      <c r="C425" s="89" t="inlineStr">
        <is>
          <t>EFECTIVO</t>
        </is>
      </c>
      <c r="D425" s="90" t="n"/>
      <c r="E425" s="91" t="n">
        <v>343000</v>
      </c>
      <c r="F425" s="78" t="n"/>
    </row>
    <row r="426" ht="22.5" customHeight="1" s="102">
      <c r="B426" s="98" t="n">
        <v>46287</v>
      </c>
      <c r="C426" s="99" t="inlineStr">
        <is>
          <t>EFECTIVO</t>
        </is>
      </c>
      <c r="D426" s="100" t="n"/>
      <c r="E426" s="101" t="n">
        <v>442250</v>
      </c>
      <c r="F426" s="78" t="n"/>
    </row>
    <row r="427" ht="22.5" customHeight="1" s="102">
      <c r="B427" s="96" t="n">
        <v>46300</v>
      </c>
      <c r="C427" s="89" t="inlineStr">
        <is>
          <t>TRANSFERENCIA</t>
        </is>
      </c>
      <c r="D427" s="90" t="inlineStr">
        <is>
          <t>ALAMO</t>
        </is>
      </c>
      <c r="E427" s="91" t="n">
        <v>184000</v>
      </c>
      <c r="F427" s="78" t="n"/>
    </row>
    <row r="428" ht="22.5" customHeight="1" s="102">
      <c r="B428" s="96" t="n">
        <v>46300</v>
      </c>
      <c r="C428" s="89" t="inlineStr">
        <is>
          <t>TRANSFERENCIA</t>
        </is>
      </c>
      <c r="D428" s="90" t="inlineStr">
        <is>
          <t>MILLER</t>
        </is>
      </c>
      <c r="E428" s="91" t="n">
        <v>62000</v>
      </c>
      <c r="F428" s="78" t="n"/>
    </row>
    <row r="429" ht="22.5" customHeight="1" s="102">
      <c r="B429" s="96" t="n">
        <v>46301</v>
      </c>
      <c r="C429" s="89" t="inlineStr">
        <is>
          <t>EFECTIVO</t>
        </is>
      </c>
      <c r="D429" s="90" t="inlineStr">
        <is>
          <t>MACHIMBRE</t>
        </is>
      </c>
      <c r="E429" s="91" t="n">
        <v>530000</v>
      </c>
      <c r="F429" s="78" t="n"/>
    </row>
    <row r="430" ht="22.5" customHeight="1" s="102">
      <c r="B430" s="96" t="n">
        <v>46301</v>
      </c>
      <c r="C430" s="89" t="inlineStr">
        <is>
          <t>TRANSFERENCIA</t>
        </is>
      </c>
      <c r="D430" s="90" t="inlineStr">
        <is>
          <t>IMPREGNADOS</t>
        </is>
      </c>
      <c r="E430" s="91" t="n">
        <v>215000</v>
      </c>
      <c r="F430" s="78" t="n"/>
    </row>
    <row r="431" ht="22.5" customHeight="1" s="102">
      <c r="B431" s="96" t="n">
        <v>46303</v>
      </c>
      <c r="C431" s="89" t="inlineStr">
        <is>
          <t>TRANSFERENCIA</t>
        </is>
      </c>
      <c r="D431" s="90" t="inlineStr">
        <is>
          <t>PEDIDO</t>
        </is>
      </c>
      <c r="E431" s="91" t="n">
        <v>430000</v>
      </c>
      <c r="F431" s="78" t="n"/>
    </row>
    <row r="432" ht="22.5" customHeight="1" s="102">
      <c r="B432" s="96" t="n">
        <v>46303</v>
      </c>
      <c r="C432" s="89" t="inlineStr">
        <is>
          <t>TRANSFERENCIA</t>
        </is>
      </c>
      <c r="D432" s="90" t="inlineStr">
        <is>
          <t>PEDIDO</t>
        </is>
      </c>
      <c r="E432" s="91" t="n">
        <v>600000</v>
      </c>
      <c r="F432" s="78" t="n"/>
    </row>
    <row r="433" ht="22.5" customHeight="1" s="102">
      <c r="B433" s="96" t="n">
        <v>46312</v>
      </c>
      <c r="C433" s="89" t="inlineStr">
        <is>
          <t>EFECTIVO</t>
        </is>
      </c>
      <c r="D433" s="90" t="inlineStr">
        <is>
          <t>IMPREGNADOS</t>
        </is>
      </c>
      <c r="E433" s="91" t="n">
        <v>84000</v>
      </c>
      <c r="F433" s="78" t="n"/>
    </row>
    <row r="434" ht="22.5" customHeight="1" s="102">
      <c r="B434" s="96" t="n">
        <v>46316</v>
      </c>
      <c r="C434" s="89" t="inlineStr">
        <is>
          <t>TRANSFERENCIA</t>
        </is>
      </c>
      <c r="D434" s="90" t="inlineStr">
        <is>
          <t>IMPREGNADOS</t>
        </is>
      </c>
      <c r="E434" s="91" t="n">
        <v>335000</v>
      </c>
      <c r="F434" s="78" t="n"/>
    </row>
    <row r="435" ht="22.5" customHeight="1" s="102">
      <c r="B435" s="96" t="n">
        <v>46316</v>
      </c>
      <c r="C435" s="89" t="inlineStr">
        <is>
          <t>TRANSFERENCIA</t>
        </is>
      </c>
      <c r="D435" s="90" t="inlineStr">
        <is>
          <t>IMPREGNADOS</t>
        </is>
      </c>
      <c r="E435" s="91" t="n">
        <v>90500</v>
      </c>
      <c r="F435" s="78" t="n"/>
    </row>
    <row r="436" ht="22.5" customHeight="1" s="102">
      <c r="B436" s="96" t="n"/>
      <c r="C436" s="89" t="n"/>
      <c r="D436" s="90" t="n"/>
      <c r="E436" s="91" t="n"/>
      <c r="F436" s="78" t="n"/>
    </row>
    <row r="437" ht="22.5" customHeight="1" s="102">
      <c r="B437" s="96" t="n"/>
      <c r="C437" s="89" t="n"/>
      <c r="D437" s="90" t="n"/>
      <c r="E437" s="91" t="n"/>
      <c r="F437" s="78" t="n"/>
    </row>
    <row r="438" ht="22.5" customHeight="1" s="102">
      <c r="B438" s="96" t="n"/>
      <c r="C438" s="89" t="n"/>
      <c r="D438" s="90" t="n"/>
      <c r="E438" s="91" t="n"/>
      <c r="F438" s="78" t="n"/>
    </row>
    <row r="439" ht="22.5" customHeight="1" s="102">
      <c r="B439" s="96" t="n"/>
      <c r="C439" s="89" t="n"/>
      <c r="D439" s="90" t="n"/>
      <c r="E439" s="91" t="n"/>
      <c r="F439" s="78" t="n"/>
    </row>
    <row r="440" ht="22.5" customHeight="1" s="102">
      <c r="B440" s="96" t="n"/>
      <c r="C440" s="89" t="n"/>
      <c r="D440" s="90" t="n"/>
      <c r="E440" s="91" t="n"/>
      <c r="F440" s="78" t="n"/>
    </row>
    <row r="441" ht="22.5" customHeight="1" s="102">
      <c r="B441" s="96" t="n"/>
      <c r="C441" s="89" t="n"/>
      <c r="D441" s="90" t="n"/>
      <c r="E441" s="91" t="n"/>
      <c r="F441" s="78" t="n"/>
    </row>
    <row r="442" ht="22.5" customHeight="1" s="102">
      <c r="B442" s="96" t="n"/>
      <c r="C442" s="89" t="n"/>
      <c r="D442" s="90" t="n"/>
      <c r="E442" s="91" t="n"/>
      <c r="F442" s="78" t="n"/>
    </row>
    <row r="443" ht="22.5" customHeight="1" s="102">
      <c r="B443" s="96" t="n"/>
      <c r="C443" s="89" t="n"/>
      <c r="D443" s="90" t="n"/>
      <c r="E443" s="91" t="n"/>
      <c r="F443" s="78" t="n"/>
    </row>
    <row r="444" ht="22.5" customHeight="1" s="102">
      <c r="B444" s="96" t="n"/>
      <c r="C444" s="89" t="n"/>
      <c r="D444" s="90" t="n"/>
      <c r="E444" s="91" t="n"/>
      <c r="F444" s="78" t="n"/>
    </row>
    <row r="445" ht="22.5" customHeight="1" s="102">
      <c r="B445" s="96" t="n"/>
      <c r="C445" s="89" t="n"/>
      <c r="D445" s="90" t="n"/>
      <c r="E445" s="91" t="n"/>
      <c r="F445" s="78" t="n"/>
    </row>
    <row r="446" ht="22.5" customHeight="1" s="102">
      <c r="B446" s="96" t="n"/>
      <c r="C446" s="89" t="n"/>
      <c r="D446" s="90" t="n"/>
      <c r="E446" s="91" t="n"/>
      <c r="F446" s="78" t="n"/>
    </row>
    <row r="447" ht="22.5" customHeight="1" s="102">
      <c r="B447" s="96" t="n"/>
      <c r="C447" s="89" t="n"/>
      <c r="D447" s="90" t="n"/>
      <c r="E447" s="91" t="n"/>
      <c r="F447" s="78" t="n"/>
    </row>
    <row r="448" ht="22.5" customHeight="1" s="102">
      <c r="B448" s="96" t="n"/>
      <c r="C448" s="89" t="n"/>
      <c r="D448" s="90" t="n"/>
      <c r="E448" s="91" t="n"/>
      <c r="F448" s="78" t="n"/>
    </row>
    <row r="449" ht="22.5" customHeight="1" s="102">
      <c r="B449" s="96" t="n"/>
      <c r="C449" s="89" t="n"/>
      <c r="D449" s="90" t="n"/>
      <c r="E449" s="91" t="n"/>
      <c r="F449" s="78" t="n"/>
    </row>
    <row r="450" ht="22.5" customHeight="1" s="102">
      <c r="B450" s="96" t="n"/>
      <c r="C450" s="89" t="n"/>
      <c r="D450" s="90" t="n"/>
      <c r="E450" s="91" t="n"/>
      <c r="F450" s="78" t="n"/>
    </row>
    <row r="451" ht="22.5" customHeight="1" s="102">
      <c r="B451" s="96" t="n"/>
      <c r="C451" s="89" t="n"/>
      <c r="D451" s="90" t="n"/>
      <c r="E451" s="91" t="n"/>
      <c r="F451" s="78" t="n"/>
    </row>
    <row r="452" ht="22.5" customHeight="1" s="102">
      <c r="B452" s="96" t="n"/>
      <c r="C452" s="89" t="n"/>
      <c r="D452" s="90" t="n"/>
      <c r="E452" s="91" t="n"/>
      <c r="F452" s="78" t="n"/>
    </row>
    <row r="453" ht="22.5" customHeight="1" s="102">
      <c r="B453" s="96" t="n"/>
      <c r="C453" s="89" t="n"/>
      <c r="D453" s="90" t="n"/>
      <c r="E453" s="91" t="n"/>
      <c r="F453" s="78" t="n"/>
    </row>
    <row r="454" ht="22.5" customHeight="1" s="102">
      <c r="B454" s="96" t="n"/>
      <c r="C454" s="89" t="n"/>
      <c r="D454" s="90" t="n"/>
      <c r="E454" s="91" t="n"/>
      <c r="F454" s="78" t="n"/>
    </row>
    <row r="455" ht="22.5" customHeight="1" s="102">
      <c r="B455" s="96" t="n"/>
      <c r="C455" s="89" t="n"/>
      <c r="D455" s="90" t="n"/>
      <c r="E455" s="91" t="n"/>
      <c r="F455" s="78" t="n"/>
    </row>
    <row r="456" ht="22.5" customHeight="1" s="102">
      <c r="B456" s="96" t="n"/>
      <c r="C456" s="89" t="n"/>
      <c r="D456" s="90" t="n"/>
      <c r="E456" s="91" t="n"/>
      <c r="F456" s="78" t="n"/>
    </row>
    <row r="457" ht="22.5" customHeight="1" s="102">
      <c r="B457" s="96" t="n"/>
      <c r="C457" s="89" t="n"/>
      <c r="D457" s="90" t="n"/>
      <c r="E457" s="91" t="n"/>
      <c r="F457" s="78" t="n"/>
    </row>
    <row r="458" ht="22.5" customHeight="1" s="102">
      <c r="B458" s="96" t="n"/>
      <c r="C458" s="89" t="n"/>
      <c r="D458" s="90" t="n"/>
      <c r="E458" s="91" t="n"/>
      <c r="F458" s="78" t="n"/>
    </row>
    <row r="459" ht="22.5" customHeight="1" s="102">
      <c r="B459" s="96" t="n"/>
      <c r="C459" s="89" t="n"/>
      <c r="D459" s="90" t="n"/>
      <c r="E459" s="91" t="n"/>
      <c r="F459" s="78" t="n"/>
    </row>
    <row r="460" ht="22.5" customHeight="1" s="102">
      <c r="B460" s="96" t="n"/>
      <c r="C460" s="89" t="n"/>
      <c r="D460" s="90" t="n"/>
      <c r="E460" s="91" t="n"/>
      <c r="F460" s="78" t="n"/>
    </row>
    <row r="461" ht="22.5" customHeight="1" s="102">
      <c r="B461" s="96" t="n"/>
      <c r="C461" s="89" t="n"/>
      <c r="D461" s="90" t="n"/>
      <c r="E461" s="91" t="n"/>
      <c r="F461" s="78" t="n"/>
    </row>
    <row r="462" ht="22.5" customHeight="1" s="102">
      <c r="B462" s="96" t="n"/>
      <c r="C462" s="89" t="n"/>
      <c r="D462" s="90" t="n"/>
      <c r="E462" s="91" t="n"/>
      <c r="F462" s="78" t="n"/>
    </row>
    <row r="463" ht="22.5" customHeight="1" s="102">
      <c r="B463" s="96" t="n"/>
      <c r="C463" s="89" t="n"/>
      <c r="D463" s="90" t="n"/>
      <c r="E463" s="91" t="n"/>
      <c r="F463" s="78" t="n"/>
    </row>
    <row r="464" ht="22.5" customHeight="1" s="102">
      <c r="B464" s="96" t="n"/>
      <c r="C464" s="89" t="n"/>
      <c r="D464" s="90" t="n"/>
      <c r="E464" s="91" t="n"/>
      <c r="F464" s="78" t="n"/>
    </row>
    <row r="465" ht="22.5" customHeight="1" s="102">
      <c r="B465" s="96" t="n"/>
      <c r="C465" s="89" t="n"/>
      <c r="D465" s="90" t="n"/>
      <c r="E465" s="91" t="n"/>
      <c r="F465" s="78" t="n"/>
    </row>
    <row r="466" ht="22.5" customHeight="1" s="102">
      <c r="B466" s="96" t="n"/>
      <c r="C466" s="89" t="n"/>
      <c r="D466" s="90" t="n"/>
      <c r="E466" s="91" t="n"/>
      <c r="F466" s="78" t="n"/>
    </row>
    <row r="467" ht="22.5" customHeight="1" s="102">
      <c r="B467" s="96" t="n"/>
      <c r="C467" s="89" t="n"/>
      <c r="D467" s="90" t="n"/>
      <c r="E467" s="91" t="n"/>
      <c r="F467" s="78" t="n"/>
    </row>
    <row r="468" ht="22.5" customHeight="1" s="102">
      <c r="B468" s="96" t="n"/>
      <c r="C468" s="89" t="n"/>
      <c r="D468" s="90" t="n"/>
      <c r="E468" s="91" t="n"/>
      <c r="F468" s="78" t="n"/>
    </row>
    <row r="469" ht="22.5" customHeight="1" s="102">
      <c r="B469" s="96" t="n"/>
      <c r="C469" s="89" t="n"/>
      <c r="D469" s="90" t="n"/>
      <c r="E469" s="91" t="n"/>
      <c r="F469" s="78" t="n"/>
    </row>
    <row r="470" ht="22.5" customHeight="1" s="102">
      <c r="B470" s="96" t="n"/>
      <c r="C470" s="89" t="n"/>
      <c r="D470" s="90" t="n"/>
      <c r="E470" s="91" t="n"/>
      <c r="F470" s="78" t="n"/>
    </row>
    <row r="471" ht="22.5" customHeight="1" s="102">
      <c r="B471" s="96" t="n"/>
      <c r="C471" s="89" t="n"/>
      <c r="D471" s="90" t="n"/>
      <c r="E471" s="91" t="n"/>
      <c r="F471" s="78" t="n"/>
    </row>
    <row r="472" ht="22.5" customHeight="1" s="102">
      <c r="B472" s="96" t="n"/>
      <c r="C472" s="89" t="n"/>
      <c r="D472" s="90" t="n"/>
      <c r="E472" s="91" t="n"/>
      <c r="F472" s="78" t="n"/>
    </row>
    <row r="473" ht="22.5" customHeight="1" s="102">
      <c r="B473" s="96" t="n"/>
      <c r="C473" s="89" t="n"/>
      <c r="D473" s="90" t="n"/>
      <c r="E473" s="91" t="n"/>
      <c r="F473" s="78" t="n"/>
    </row>
    <row r="474" ht="22.5" customHeight="1" s="102">
      <c r="B474" s="96" t="n"/>
      <c r="C474" s="89" t="n"/>
      <c r="D474" s="90" t="n"/>
      <c r="E474" s="91" t="n"/>
      <c r="F474" s="78" t="n"/>
    </row>
    <row r="475" ht="22.5" customHeight="1" s="102">
      <c r="B475" s="96" t="n"/>
      <c r="C475" s="89" t="n"/>
      <c r="D475" s="90" t="n"/>
      <c r="E475" s="91" t="n"/>
      <c r="F475" s="78" t="n"/>
    </row>
    <row r="476" ht="22.5" customHeight="1" s="102">
      <c r="B476" s="96" t="n"/>
      <c r="C476" s="89" t="n"/>
      <c r="D476" s="90" t="n"/>
      <c r="E476" s="91" t="n"/>
      <c r="F476" s="78" t="n"/>
    </row>
    <row r="477" ht="22.5" customHeight="1" s="102">
      <c r="B477" s="96" t="n"/>
      <c r="C477" s="89" t="n"/>
      <c r="D477" s="90" t="n"/>
      <c r="E477" s="91" t="n"/>
      <c r="F477" s="78" t="n"/>
    </row>
    <row r="478" ht="22.5" customHeight="1" s="102">
      <c r="B478" s="96" t="n"/>
      <c r="C478" s="89" t="n"/>
      <c r="D478" s="90" t="n"/>
      <c r="E478" s="91" t="n"/>
      <c r="F478" s="78" t="n"/>
    </row>
    <row r="479" ht="22.5" customHeight="1" s="102">
      <c r="B479" s="96" t="n"/>
      <c r="C479" s="89" t="n"/>
      <c r="D479" s="90" t="n"/>
      <c r="E479" s="91" t="n"/>
      <c r="F479" s="78" t="n"/>
    </row>
    <row r="480" ht="22.5" customHeight="1" s="102">
      <c r="B480" s="96" t="n"/>
      <c r="C480" s="89" t="n"/>
      <c r="D480" s="90" t="n"/>
      <c r="E480" s="91" t="n"/>
      <c r="F480" s="78" t="n"/>
    </row>
    <row r="481" ht="22.5" customHeight="1" s="102">
      <c r="B481" s="96" t="n"/>
      <c r="C481" s="89" t="n"/>
      <c r="D481" s="90" t="n"/>
      <c r="E481" s="91" t="n"/>
      <c r="F481" s="78" t="n"/>
    </row>
    <row r="482" ht="22.5" customHeight="1" s="102">
      <c r="B482" s="96" t="n"/>
      <c r="C482" s="89" t="n"/>
      <c r="D482" s="90" t="n"/>
      <c r="E482" s="91" t="n"/>
      <c r="F482" s="78" t="n"/>
    </row>
    <row r="483" ht="22.5" customHeight="1" s="102">
      <c r="B483" s="96" t="n"/>
      <c r="C483" s="89" t="n"/>
      <c r="D483" s="90" t="n"/>
      <c r="E483" s="91" t="n"/>
      <c r="F483" s="78" t="n"/>
    </row>
    <row r="484" ht="22.5" customHeight="1" s="102">
      <c r="B484" s="96" t="n"/>
      <c r="C484" s="89" t="n"/>
      <c r="D484" s="90" t="n"/>
      <c r="E484" s="91" t="n"/>
      <c r="F484" s="78" t="n"/>
    </row>
    <row r="485" ht="22.5" customHeight="1" s="102">
      <c r="B485" s="96" t="n"/>
      <c r="C485" s="89" t="n"/>
      <c r="D485" s="90" t="n"/>
      <c r="E485" s="91" t="n"/>
      <c r="F485" s="78" t="n"/>
    </row>
    <row r="486" ht="22.5" customHeight="1" s="102">
      <c r="B486" s="96" t="n"/>
      <c r="C486" s="89" t="n"/>
      <c r="D486" s="90" t="n"/>
      <c r="E486" s="91" t="n"/>
      <c r="F486" s="78" t="n"/>
    </row>
    <row r="487" ht="22.5" customHeight="1" s="102">
      <c r="B487" s="96" t="n"/>
      <c r="C487" s="89" t="n"/>
      <c r="D487" s="90" t="n"/>
      <c r="E487" s="91" t="n"/>
      <c r="F487" s="78" t="n"/>
    </row>
    <row r="488" ht="22.5" customHeight="1" s="102">
      <c r="B488" s="96" t="n"/>
      <c r="C488" s="89" t="n"/>
      <c r="D488" s="90" t="n"/>
      <c r="E488" s="91" t="n"/>
      <c r="F488" s="78" t="n"/>
    </row>
    <row r="489" ht="22.5" customHeight="1" s="102">
      <c r="B489" s="96" t="n"/>
      <c r="C489" s="89" t="n"/>
      <c r="D489" s="90" t="n"/>
      <c r="E489" s="91" t="n"/>
      <c r="F489" s="78" t="n"/>
    </row>
    <row r="490" ht="22.5" customHeight="1" s="102">
      <c r="B490" s="96" t="n"/>
      <c r="C490" s="89" t="n"/>
      <c r="D490" s="90" t="n"/>
      <c r="E490" s="91" t="n"/>
      <c r="F490" s="78" t="n"/>
    </row>
    <row r="491" ht="22.5" customHeight="1" s="102">
      <c r="B491" s="96" t="n"/>
      <c r="C491" s="89" t="n"/>
      <c r="D491" s="90" t="n"/>
      <c r="E491" s="91" t="n"/>
      <c r="F491" s="78" t="n"/>
    </row>
  </sheetData>
  <dataValidations count="1">
    <dataValidation sqref="E3:E491" showDropDown="1" showInputMessage="0" showErrorMessage="0" allowBlank="1" type="custom">
      <formula1>AND(ISNUMBER(E3),(NOT(OR(NOT(ISERROR(DATEVALUE(E3))), AND(ISNUMBER(E3), LEFT(CELL("format", E3))="D")))))</formula1>
    </dataValidation>
  </dataValidations>
  <pageMargins left="0.7" right="0.7" top="0.75" bottom="0.75" header="0" footer="0"/>
  <pageSetup orientation="portrait" paperSize="8" scale="8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5.29" customWidth="1" style="102" min="1" max="1"/>
    <col width="16.71" customWidth="1" style="102" min="2" max="2"/>
    <col width="11.29" customWidth="1" style="102" min="3" max="3"/>
    <col width="12.86" customWidth="1" style="102" min="4" max="4"/>
    <col width="13.29" customWidth="1" style="102" min="5" max="5"/>
    <col width="16.71" customWidth="1" style="102" min="6" max="6"/>
    <col width="17.29" customWidth="1" style="102" min="7" max="7"/>
    <col width="17" customWidth="1" style="102" min="8" max="8"/>
    <col width="18.29" customWidth="1" style="102" min="9" max="9"/>
    <col width="17.86" customWidth="1" style="102" min="10" max="10"/>
    <col width="8.710000000000001" customWidth="1" style="102" min="11" max="26"/>
  </cols>
  <sheetData>
    <row r="1">
      <c r="B1" s="1" t="inlineStr">
        <is>
          <t>OCTUBRE</t>
        </is>
      </c>
      <c r="E1" s="4" t="inlineStr">
        <is>
          <t>MADERAS VICTORIA</t>
        </is>
      </c>
    </row>
    <row r="2"/>
    <row r="3">
      <c r="B3" s="8" t="inlineStr">
        <is>
          <t>Día</t>
        </is>
      </c>
      <c r="C3" s="8" t="inlineStr">
        <is>
          <t>Ventas</t>
        </is>
      </c>
      <c r="D3" s="8" t="inlineStr">
        <is>
          <t>Gastos</t>
        </is>
      </c>
      <c r="E3" s="9" t="inlineStr">
        <is>
          <t>Impuestos</t>
        </is>
      </c>
      <c r="F3" s="9" t="inlineStr">
        <is>
          <t>Sueldos</t>
        </is>
      </c>
      <c r="G3" s="9" t="inlineStr">
        <is>
          <t>Proveedores</t>
        </is>
      </c>
      <c r="H3" s="8" t="inlineStr">
        <is>
          <t>Total Ingresos</t>
        </is>
      </c>
      <c r="I3" s="8" t="inlineStr">
        <is>
          <t>Total Egresos</t>
        </is>
      </c>
      <c r="J3" s="8" t="inlineStr">
        <is>
          <t>Resultado Neto</t>
        </is>
      </c>
    </row>
    <row r="4">
      <c r="B4" s="69" t="inlineStr">
        <is>
          <t>Lunes</t>
        </is>
      </c>
      <c r="C4" s="31" t="n"/>
      <c r="D4" s="31" t="n"/>
      <c r="E4" s="31" t="n"/>
      <c r="F4" s="31" t="n"/>
      <c r="G4" s="31" t="n"/>
      <c r="H4" s="17">
        <f>C4</f>
        <v/>
      </c>
      <c r="I4" s="18">
        <f>D4+E4+F4+G4</f>
        <v/>
      </c>
      <c r="J4" s="18">
        <f>H4-I4</f>
        <v/>
      </c>
    </row>
    <row r="5">
      <c r="A5" s="19" t="n"/>
      <c r="B5" s="69" t="inlineStr">
        <is>
          <t>Martes</t>
        </is>
      </c>
      <c r="C5" s="31" t="n"/>
      <c r="D5" s="31" t="n"/>
      <c r="E5" s="31" t="n"/>
      <c r="F5" s="31" t="n"/>
      <c r="G5" s="31" t="n"/>
      <c r="H5" s="17">
        <f>C5</f>
        <v/>
      </c>
      <c r="I5" s="18">
        <f>D5+E5+F5+G5</f>
        <v/>
      </c>
      <c r="J5" s="18">
        <f>H5-I5</f>
        <v/>
      </c>
      <c r="L5" s="103" t="inlineStr">
        <is>
          <t>AGUINALDOS</t>
        </is>
      </c>
      <c r="M5" s="104" t="n"/>
      <c r="N5" s="104" t="n"/>
      <c r="O5" s="104" t="n"/>
      <c r="P5" s="104" t="n"/>
      <c r="Q5" s="104" t="n"/>
      <c r="R5" s="104" t="n"/>
      <c r="S5" s="105" t="n"/>
    </row>
    <row r="6">
      <c r="A6" s="19" t="n"/>
      <c r="B6" s="69" t="inlineStr">
        <is>
          <t>Miércoles</t>
        </is>
      </c>
      <c r="C6" s="31" t="n"/>
      <c r="D6" s="31" t="n"/>
      <c r="E6" s="31" t="n"/>
      <c r="G6" s="31" t="n"/>
      <c r="H6" s="17">
        <f>C6</f>
        <v/>
      </c>
      <c r="I6" s="18">
        <f>D6+E6+F6+G6</f>
        <v/>
      </c>
      <c r="J6" s="18">
        <f>H6-I6</f>
        <v/>
      </c>
      <c r="L6" s="106" t="inlineStr">
        <is>
          <t>MARCOS</t>
        </is>
      </c>
      <c r="M6" s="107" t="n"/>
      <c r="N6" s="108" t="inlineStr">
        <is>
          <t>JUAN</t>
        </is>
      </c>
      <c r="O6" s="107" t="n"/>
      <c r="P6" s="109" t="inlineStr">
        <is>
          <t>ROMAN</t>
        </is>
      </c>
      <c r="Q6" s="110" t="n"/>
      <c r="R6" s="109" t="inlineStr">
        <is>
          <t>FERNANDO</t>
        </is>
      </c>
      <c r="S6" s="110" t="n"/>
    </row>
    <row r="7">
      <c r="A7" s="19" t="n">
        <v>46296</v>
      </c>
      <c r="B7" s="69" t="inlineStr">
        <is>
          <t>Jueves</t>
        </is>
      </c>
      <c r="C7" s="31">
        <f>IF($A7="","",SUMIF('VENTAS DIARIAS'!$B$2:$B$5000,$A7,'VENTAS DIARIAS'!$E$2:$E$5000))</f>
        <v/>
      </c>
      <c r="D7" s="31" t="n"/>
      <c r="E7" s="31" t="n"/>
      <c r="F7" s="31" t="n"/>
      <c r="G7" s="31" t="n"/>
      <c r="H7" s="17">
        <f>C7</f>
        <v/>
      </c>
      <c r="I7" s="18">
        <f>D7+E7+F7+G7</f>
        <v/>
      </c>
      <c r="J7" s="18">
        <f>H7-I7</f>
        <v/>
      </c>
      <c r="L7" s="111" t="n">
        <v>200000</v>
      </c>
      <c r="M7" s="112" t="n"/>
      <c r="N7" s="111" t="n">
        <v>200000</v>
      </c>
      <c r="O7" s="112" t="n"/>
      <c r="P7" s="111" t="n">
        <v>100000</v>
      </c>
      <c r="Q7" s="112" t="n"/>
      <c r="R7" s="111" t="n">
        <v>70000</v>
      </c>
      <c r="S7" s="112" t="n"/>
    </row>
    <row r="8">
      <c r="A8" s="19" t="n">
        <v>46297</v>
      </c>
      <c r="B8" s="69" t="inlineStr">
        <is>
          <t>Viernes</t>
        </is>
      </c>
      <c r="C8" s="31">
        <f>IF($A8="","",SUMIF('VENTAS DIARIAS'!$B$2:$B$5000,$A8,'VENTAS DIARIAS'!$E$2:$E$5000))</f>
        <v/>
      </c>
      <c r="D8" s="31" t="n"/>
      <c r="E8" s="31" t="n"/>
      <c r="F8" s="31" t="n">
        <v>500000</v>
      </c>
      <c r="G8" s="31" t="n"/>
      <c r="H8" s="17">
        <f>C8</f>
        <v/>
      </c>
      <c r="I8" s="18">
        <f>D8+E8+F8+G8</f>
        <v/>
      </c>
      <c r="J8" s="18">
        <f>H8-I8</f>
        <v/>
      </c>
    </row>
    <row r="9">
      <c r="A9" s="19" t="n">
        <v>46298</v>
      </c>
      <c r="B9" s="69" t="inlineStr">
        <is>
          <t>Sábado</t>
        </is>
      </c>
      <c r="C9" s="34">
        <f>IF($A9="","",SUMIF('VENTAS DIARIAS'!$B$2:$B$5000,$A9,'VENTAS DIARIAS'!$E$2:$E$5000))</f>
        <v/>
      </c>
      <c r="D9" s="31" t="n"/>
      <c r="E9" s="31" t="n"/>
      <c r="F9" s="31" t="n"/>
      <c r="G9" s="31" t="n"/>
      <c r="H9" s="17">
        <f>C9</f>
        <v/>
      </c>
      <c r="I9" s="18">
        <f>D9+E9+F9+G9</f>
        <v/>
      </c>
      <c r="J9" s="18">
        <f>H9-I9</f>
        <v/>
      </c>
    </row>
    <row r="10">
      <c r="A10" s="19" t="n"/>
      <c r="B10" s="36" t="inlineStr">
        <is>
          <t>Total Semanal</t>
        </is>
      </c>
      <c r="C10" s="37">
        <f>SUM(C4:C9)</f>
        <v/>
      </c>
      <c r="D10" s="39">
        <f>SUM(D4:D9)</f>
        <v/>
      </c>
      <c r="E10" s="39">
        <f>SUM(E4:E9)</f>
        <v/>
      </c>
      <c r="F10" s="39">
        <f>SUM(F4:F9)</f>
        <v/>
      </c>
      <c r="G10" s="39">
        <f>SUM(G4:G9)</f>
        <v/>
      </c>
      <c r="H10" s="41">
        <f>SUM(H4:H9)</f>
        <v/>
      </c>
      <c r="I10" s="39">
        <f>SUM(I4:I9)</f>
        <v/>
      </c>
      <c r="J10" s="43">
        <f>SUM(J4:J9)</f>
        <v/>
      </c>
    </row>
    <row r="11">
      <c r="A11" s="19" t="n">
        <v>46300</v>
      </c>
      <c r="B11" s="69" t="inlineStr">
        <is>
          <t>Lunes</t>
        </is>
      </c>
      <c r="C11" s="31">
        <f>IF($A11="","",SUMIF('VENTAS DIARIAS'!$B$2:$B$5000,$A11,'VENTAS DIARIAS'!$E$2:$E$5000))</f>
        <v/>
      </c>
      <c r="D11" s="31" t="n"/>
      <c r="E11" s="31" t="n"/>
      <c r="F11" s="31" t="n"/>
      <c r="G11" s="31" t="n"/>
      <c r="H11" s="17">
        <f>C11</f>
        <v/>
      </c>
      <c r="I11" s="18">
        <f>D11+E11+F11+G11</f>
        <v/>
      </c>
      <c r="J11" s="18">
        <f>H11-I11</f>
        <v/>
      </c>
    </row>
    <row r="12">
      <c r="A12" s="19" t="n">
        <v>46301</v>
      </c>
      <c r="B12" s="69" t="inlineStr">
        <is>
          <t>Martes</t>
        </is>
      </c>
      <c r="C12" s="31">
        <f>IF($A12="","",SUMIF('VENTAS DIARIAS'!$B$2:$B$5000,$A12,'VENTAS DIARIAS'!$E$2:$E$5000))</f>
        <v/>
      </c>
      <c r="D12" s="31" t="n"/>
      <c r="E12" s="31" t="n"/>
      <c r="F12" s="31" t="n"/>
      <c r="G12" s="31" t="n"/>
      <c r="H12" s="17">
        <f>C12</f>
        <v/>
      </c>
      <c r="I12" s="18">
        <f>D12+E12+F12+G12</f>
        <v/>
      </c>
      <c r="J12" s="18">
        <f>H12-I12</f>
        <v/>
      </c>
    </row>
    <row r="13">
      <c r="A13" s="19" t="n">
        <v>46302</v>
      </c>
      <c r="B13" s="69" t="inlineStr">
        <is>
          <t>Miércoles</t>
        </is>
      </c>
      <c r="C13" s="31">
        <f>IF($A13="","",SUMIF('VENTAS DIARIAS'!$B$2:$B$5000,$A13,'VENTAS DIARIAS'!$E$2:$E$5000))</f>
        <v/>
      </c>
      <c r="D13" s="31" t="n"/>
      <c r="E13" s="31" t="n"/>
      <c r="F13" s="31" t="n"/>
      <c r="G13" s="31" t="n"/>
      <c r="H13" s="17">
        <f>C13</f>
        <v/>
      </c>
      <c r="I13" s="18">
        <f>D13+E13+F13+G13</f>
        <v/>
      </c>
      <c r="J13" s="18">
        <f>H13-I13</f>
        <v/>
      </c>
    </row>
    <row r="14">
      <c r="A14" s="19" t="n">
        <v>46303</v>
      </c>
      <c r="B14" s="69" t="inlineStr">
        <is>
          <t>Jueves</t>
        </is>
      </c>
      <c r="C14" s="31">
        <f>IF($A14="","",SUMIF('VENTAS DIARIAS'!$B$2:$B$5000,$A14,'VENTAS DIARIAS'!$E$2:$E$5000))</f>
        <v/>
      </c>
      <c r="D14" s="31" t="n"/>
      <c r="E14" s="31" t="n"/>
      <c r="F14" s="31" t="n"/>
      <c r="G14" s="31" t="n"/>
      <c r="H14" s="17">
        <f>C14</f>
        <v/>
      </c>
      <c r="I14" s="18">
        <f>D14+E14+F14+G14</f>
        <v/>
      </c>
      <c r="J14" s="18">
        <f>H14-I14</f>
        <v/>
      </c>
    </row>
    <row r="15">
      <c r="A15" s="19" t="n">
        <v>46304</v>
      </c>
      <c r="B15" s="69" t="inlineStr">
        <is>
          <t>Viernes</t>
        </is>
      </c>
      <c r="C15" s="31">
        <f>IF($A15="","",SUMIF('VENTAS DIARIAS'!$B$2:$B$5000,$A15,'VENTAS DIARIAS'!$E$2:$E$5000))</f>
        <v/>
      </c>
      <c r="D15" s="31" t="n"/>
      <c r="E15" s="31" t="n"/>
      <c r="F15" s="31" t="n">
        <v>500000</v>
      </c>
      <c r="G15" s="31" t="n"/>
      <c r="H15" s="17">
        <f>C15</f>
        <v/>
      </c>
      <c r="I15" s="18">
        <f>D15+E15+F15+G15</f>
        <v/>
      </c>
      <c r="J15" s="18">
        <f>H15-I15</f>
        <v/>
      </c>
    </row>
    <row r="16">
      <c r="A16" s="19" t="n">
        <v>46305</v>
      </c>
      <c r="B16" s="69" t="inlineStr">
        <is>
          <t>Sábado</t>
        </is>
      </c>
      <c r="C16" s="31">
        <f>IF($A16="","",SUMIF('VENTAS DIARIAS'!$B$2:$B$5000,$A16,'VENTAS DIARIAS'!$E$2:$E$5000))</f>
        <v/>
      </c>
      <c r="D16" s="31" t="n"/>
      <c r="E16" s="31" t="n"/>
      <c r="F16" s="31" t="n"/>
      <c r="G16" s="31" t="n"/>
      <c r="H16" s="17">
        <f>C16</f>
        <v/>
      </c>
      <c r="I16" s="18">
        <f>D16+E16+F16+G16</f>
        <v/>
      </c>
      <c r="J16" s="18">
        <f>H16-I16</f>
        <v/>
      </c>
    </row>
    <row r="17">
      <c r="A17" s="19" t="n"/>
      <c r="B17" s="36" t="inlineStr">
        <is>
          <t>Total Semanal</t>
        </is>
      </c>
      <c r="C17" s="41">
        <f>SUM(C11:C16)</f>
        <v/>
      </c>
      <c r="D17" s="39">
        <f>SUM(D11:D16)</f>
        <v/>
      </c>
      <c r="E17" s="39">
        <f>SUM(E11:E16)</f>
        <v/>
      </c>
      <c r="F17" s="39">
        <f>SUM(F11:F16)</f>
        <v/>
      </c>
      <c r="G17" s="39">
        <f>SUM(G11:G16)</f>
        <v/>
      </c>
      <c r="H17" s="41">
        <f>SUM(H11:H16)</f>
        <v/>
      </c>
      <c r="I17" s="39">
        <f>SUM(I11:I16)</f>
        <v/>
      </c>
      <c r="J17" s="43">
        <f>SUM(J11:J16)</f>
        <v/>
      </c>
    </row>
    <row r="18">
      <c r="A18" s="19" t="n">
        <v>46307</v>
      </c>
      <c r="B18" s="69" t="inlineStr">
        <is>
          <t>Lunes</t>
        </is>
      </c>
      <c r="C18" s="31">
        <f>IF($A18="","",SUMIF('VENTAS DIARIAS'!$B$2:$B$5000,$A18,'VENTAS DIARIAS'!$E$2:$E$5000))</f>
        <v/>
      </c>
      <c r="D18" s="31" t="n"/>
      <c r="E18" s="31" t="n"/>
      <c r="F18" s="31" t="n"/>
      <c r="G18" s="31" t="n"/>
      <c r="H18" s="17">
        <f>C18</f>
        <v/>
      </c>
      <c r="I18" s="18">
        <f>D18+E18+F18+G18</f>
        <v/>
      </c>
      <c r="J18" s="18">
        <f>H18-I18</f>
        <v/>
      </c>
    </row>
    <row r="19">
      <c r="A19" s="19" t="n">
        <v>46308</v>
      </c>
      <c r="B19" s="69" t="inlineStr">
        <is>
          <t>Martes</t>
        </is>
      </c>
      <c r="C19" s="31">
        <f>IF($A19="","",SUMIF('VENTAS DIARIAS'!$B$2:$B$5000,$A19,'VENTAS DIARIAS'!$E$2:$E$5000))</f>
        <v/>
      </c>
      <c r="D19" s="31" t="n"/>
      <c r="E19" s="31" t="n"/>
      <c r="F19" s="31" t="n"/>
      <c r="G19" s="31" t="n"/>
      <c r="H19" s="17">
        <f>C19</f>
        <v/>
      </c>
      <c r="I19" s="18">
        <f>D19+E19+F19+G19</f>
        <v/>
      </c>
      <c r="J19" s="18">
        <f>H19-I19</f>
        <v/>
      </c>
    </row>
    <row r="20">
      <c r="A20" s="19" t="n">
        <v>46309</v>
      </c>
      <c r="B20" s="69" t="inlineStr">
        <is>
          <t>Miércoles</t>
        </is>
      </c>
      <c r="C20" s="31">
        <f>IF($A20="","",SUMIF('VENTAS DIARIAS'!$B$2:$B$5000,$A20,'VENTAS DIARIAS'!$E$2:$E$5000))</f>
        <v/>
      </c>
      <c r="D20" s="31" t="n"/>
      <c r="E20" s="31" t="n"/>
      <c r="F20" s="31" t="n"/>
      <c r="G20" s="31" t="n"/>
      <c r="H20" s="17">
        <f>C20</f>
        <v/>
      </c>
      <c r="I20" s="18">
        <f>D20+E20+F20+G20</f>
        <v/>
      </c>
      <c r="J20" s="18">
        <f>H20-I20</f>
        <v/>
      </c>
    </row>
    <row r="21" ht="15.75" customHeight="1" s="102">
      <c r="A21" s="19" t="n">
        <v>46310</v>
      </c>
      <c r="B21" s="69" t="inlineStr">
        <is>
          <t>Jueves</t>
        </is>
      </c>
      <c r="C21" s="31">
        <f>IF($A21="","",SUMIF('VENTAS DIARIAS'!$B$2:$B$5000,$A21,'VENTAS DIARIAS'!$E$2:$E$5000))</f>
        <v/>
      </c>
      <c r="D21" s="31" t="n"/>
      <c r="E21" s="31" t="n"/>
      <c r="F21" s="31" t="n"/>
      <c r="G21" s="31" t="n"/>
      <c r="H21" s="17">
        <f>C21</f>
        <v/>
      </c>
      <c r="I21" s="18">
        <f>D21+E21+F21+G21</f>
        <v/>
      </c>
      <c r="J21" s="18">
        <f>H21-I21</f>
        <v/>
      </c>
    </row>
    <row r="22" ht="15.75" customHeight="1" s="102">
      <c r="A22" s="19" t="n">
        <v>46311</v>
      </c>
      <c r="B22" s="69" t="inlineStr">
        <is>
          <t>Viernes</t>
        </is>
      </c>
      <c r="C22" s="31">
        <f>IF($A22="","",SUMIF('VENTAS DIARIAS'!$B$2:$B$5000,$A22,'VENTAS DIARIAS'!$E$2:$E$5000))</f>
        <v/>
      </c>
      <c r="D22" s="31" t="n"/>
      <c r="E22" s="31" t="n"/>
      <c r="F22" s="31" t="n">
        <v>500000</v>
      </c>
      <c r="G22" s="31" t="n"/>
      <c r="H22" s="17">
        <f>C22</f>
        <v/>
      </c>
      <c r="I22" s="18">
        <f>D22+E22+F22+G22</f>
        <v/>
      </c>
      <c r="J22" s="18">
        <f>H22-I22</f>
        <v/>
      </c>
    </row>
    <row r="23" ht="15.75" customHeight="1" s="102">
      <c r="A23" s="19" t="n">
        <v>46312</v>
      </c>
      <c r="B23" s="69" t="inlineStr">
        <is>
          <t>Sábado</t>
        </is>
      </c>
      <c r="C23" s="31">
        <f>IF($A23="","",SUMIF('VENTAS DIARIAS'!$B$2:$B$5000,$A23,'VENTAS DIARIAS'!$E$2:$E$5000))</f>
        <v/>
      </c>
      <c r="D23" s="31" t="n"/>
      <c r="E23" s="31" t="n"/>
      <c r="F23" s="31" t="n"/>
      <c r="G23" s="31" t="n"/>
      <c r="H23" s="17">
        <f>C23</f>
        <v/>
      </c>
      <c r="I23" s="18">
        <f>D23+E23+F23+G23</f>
        <v/>
      </c>
      <c r="J23" s="18">
        <f>H23-I23</f>
        <v/>
      </c>
    </row>
    <row r="24" ht="15.75" customHeight="1" s="102">
      <c r="A24" s="19" t="n"/>
      <c r="B24" s="36" t="inlineStr">
        <is>
          <t>Total Semanal</t>
        </is>
      </c>
      <c r="C24" s="41">
        <f>SUM(C18:C23)</f>
        <v/>
      </c>
      <c r="D24" s="39">
        <f>SUM(D18:D23)</f>
        <v/>
      </c>
      <c r="E24" s="39">
        <f>SUM(E18:E23)</f>
        <v/>
      </c>
      <c r="F24" s="39">
        <f>SUM(F18:F23)</f>
        <v/>
      </c>
      <c r="G24" s="39">
        <f>SUM(G18:G23)</f>
        <v/>
      </c>
      <c r="H24" s="41">
        <f>SUM(H18:H23)</f>
        <v/>
      </c>
      <c r="I24" s="39">
        <f>SUM(I18:I23)</f>
        <v/>
      </c>
      <c r="J24" s="43">
        <f>SUM(J18:J23)</f>
        <v/>
      </c>
    </row>
    <row r="25" ht="15.75" customHeight="1" s="102">
      <c r="A25" s="19" t="n">
        <v>46314</v>
      </c>
      <c r="B25" s="69" t="inlineStr">
        <is>
          <t>Lunes</t>
        </is>
      </c>
      <c r="C25" s="31">
        <f>IF($A25="","",SUMIF('VENTAS DIARIAS'!$B$2:$B$5000,$A25,'VENTAS DIARIAS'!$E$2:$E$5000))</f>
        <v/>
      </c>
      <c r="D25" s="31" t="n"/>
      <c r="E25" s="31" t="n"/>
      <c r="F25" s="31" t="n"/>
      <c r="G25" s="31" t="n"/>
      <c r="H25" s="17">
        <f>C25</f>
        <v/>
      </c>
      <c r="I25" s="18">
        <f>D25+E25+F25+G25</f>
        <v/>
      </c>
      <c r="J25" s="18">
        <f>H25-I25</f>
        <v/>
      </c>
    </row>
    <row r="26" ht="15.75" customHeight="1" s="102">
      <c r="A26" s="19" t="n">
        <v>46315</v>
      </c>
      <c r="B26" s="69" t="inlineStr">
        <is>
          <t>Martes</t>
        </is>
      </c>
      <c r="C26" s="31">
        <f>IF($A26="","",SUMIF('VENTAS DIARIAS'!$B$2:$B$5000,$A26,'VENTAS DIARIAS'!$E$2:$E$5000))</f>
        <v/>
      </c>
      <c r="D26" s="31" t="n"/>
      <c r="E26" s="31" t="n"/>
      <c r="F26" s="31" t="n"/>
      <c r="G26" s="31" t="n"/>
      <c r="H26" s="17">
        <f>C26</f>
        <v/>
      </c>
      <c r="I26" s="18">
        <f>D26+E26+F26+G26</f>
        <v/>
      </c>
      <c r="J26" s="18">
        <f>H26-I26</f>
        <v/>
      </c>
    </row>
    <row r="27" ht="15.75" customHeight="1" s="102">
      <c r="A27" s="19" t="n">
        <v>46316</v>
      </c>
      <c r="B27" s="69" t="inlineStr">
        <is>
          <t>Miércoles</t>
        </is>
      </c>
      <c r="C27" s="31">
        <f>IF($A27="","",SUMIF('VENTAS DIARIAS'!$B$2:$B$5000,$A27,'VENTAS DIARIAS'!$E$2:$E$5000))</f>
        <v/>
      </c>
      <c r="D27" s="31" t="n"/>
      <c r="E27" s="31" t="n"/>
      <c r="F27" s="31" t="n"/>
      <c r="G27" s="31" t="n"/>
      <c r="H27" s="17">
        <f>C27</f>
        <v/>
      </c>
      <c r="I27" s="18">
        <f>D27+E27+F27+G27</f>
        <v/>
      </c>
      <c r="J27" s="18">
        <f>H27-I27</f>
        <v/>
      </c>
    </row>
    <row r="28" ht="15.75" customHeight="1" s="102">
      <c r="A28" s="19" t="n">
        <v>46317</v>
      </c>
      <c r="B28" s="69" t="inlineStr">
        <is>
          <t>Jueves</t>
        </is>
      </c>
      <c r="C28" s="31">
        <f>IF($A28="","",SUMIF('VENTAS DIARIAS'!$B$2:$B$5000,$A28,'VENTAS DIARIAS'!$E$2:$E$5000))</f>
        <v/>
      </c>
      <c r="D28" s="31" t="n"/>
      <c r="E28" s="31" t="n"/>
      <c r="F28" s="31" t="n"/>
      <c r="G28" s="31" t="n"/>
      <c r="H28" s="17">
        <f>C28</f>
        <v/>
      </c>
      <c r="I28" s="18">
        <f>D28+E28+F28+G28</f>
        <v/>
      </c>
      <c r="J28" s="18">
        <f>H28-I28</f>
        <v/>
      </c>
    </row>
    <row r="29" ht="15.75" customHeight="1" s="102">
      <c r="A29" s="19" t="n">
        <v>46318</v>
      </c>
      <c r="B29" s="69" t="inlineStr">
        <is>
          <t>Viernes</t>
        </is>
      </c>
      <c r="C29" s="31">
        <f>IF($A29="","",SUMIF('VENTAS DIARIAS'!$B$2:$B$5000,$A29,'VENTAS DIARIAS'!$E$2:$E$5000))</f>
        <v/>
      </c>
      <c r="D29" s="31" t="n"/>
      <c r="E29" s="31" t="n"/>
      <c r="F29" s="31" t="n">
        <v>500000</v>
      </c>
      <c r="G29" s="31" t="n"/>
      <c r="H29" s="17">
        <f>C29</f>
        <v/>
      </c>
      <c r="I29" s="18">
        <f>D29+E29+F29+G29</f>
        <v/>
      </c>
      <c r="J29" s="18">
        <f>H29-I29</f>
        <v/>
      </c>
    </row>
    <row r="30" ht="15.75" customHeight="1" s="102">
      <c r="A30" s="19" t="n">
        <v>46319</v>
      </c>
      <c r="B30" s="69" t="inlineStr">
        <is>
          <t>Sábado</t>
        </is>
      </c>
      <c r="C30" s="31">
        <f>IF($A30="","",SUMIF('VENTAS DIARIAS'!$B$2:$B$5000,$A30,'VENTAS DIARIAS'!$E$2:$E$5000))</f>
        <v/>
      </c>
      <c r="D30" s="31" t="n"/>
      <c r="E30" s="31" t="n"/>
      <c r="F30" s="31" t="n"/>
      <c r="G30" s="31" t="n"/>
      <c r="H30" s="17">
        <f>C30</f>
        <v/>
      </c>
      <c r="I30" s="18">
        <f>D30+E30+F30+G30</f>
        <v/>
      </c>
      <c r="J30" s="18">
        <f>H30-I30</f>
        <v/>
      </c>
    </row>
    <row r="31" ht="15.75" customHeight="1" s="102">
      <c r="A31" s="19" t="n"/>
      <c r="B31" s="36" t="inlineStr">
        <is>
          <t>Total Semanal</t>
        </is>
      </c>
      <c r="C31" s="41">
        <f>SUM(C25:C30)</f>
        <v/>
      </c>
      <c r="D31" s="39">
        <f>SUM(D25:D30)</f>
        <v/>
      </c>
      <c r="E31" s="39">
        <f>SUM(E25:E30)</f>
        <v/>
      </c>
      <c r="F31" s="39">
        <f>SUM(F25:F30)</f>
        <v/>
      </c>
      <c r="G31" s="39">
        <f>SUM(G25:G30)</f>
        <v/>
      </c>
      <c r="H31" s="41">
        <f>SUM(H25:H30)</f>
        <v/>
      </c>
      <c r="I31" s="39">
        <f>SUM(I25:I30)</f>
        <v/>
      </c>
      <c r="J31" s="43">
        <f>SUM(J25:J30)</f>
        <v/>
      </c>
    </row>
    <row r="32" ht="15.75" customHeight="1" s="102">
      <c r="A32" s="19" t="n">
        <v>46321</v>
      </c>
      <c r="B32" s="69" t="inlineStr">
        <is>
          <t>Lunes</t>
        </is>
      </c>
      <c r="C32" s="31">
        <f>IF($A32="","",SUMIF('VENTAS DIARIAS'!$B$2:$B$5000,$A32,'VENTAS DIARIAS'!$E$2:$E$5000))</f>
        <v/>
      </c>
      <c r="D32" s="31" t="n"/>
      <c r="E32" s="31" t="n"/>
      <c r="F32" s="31" t="n"/>
      <c r="G32" s="31" t="n"/>
      <c r="H32" s="17">
        <f>C32</f>
        <v/>
      </c>
      <c r="I32" s="18">
        <f>D32+E32+F32+G32</f>
        <v/>
      </c>
      <c r="J32" s="18">
        <f>H32-I32</f>
        <v/>
      </c>
      <c r="K32" s="68" t="n"/>
      <c r="L32" s="68" t="n"/>
      <c r="M32" s="68" t="n"/>
    </row>
    <row r="33" ht="15.75" customHeight="1" s="102">
      <c r="A33" s="19" t="n">
        <v>46322</v>
      </c>
      <c r="B33" s="69" t="inlineStr">
        <is>
          <t>Martes</t>
        </is>
      </c>
      <c r="C33" s="31">
        <f>IF($A33="","",SUMIF('VENTAS DIARIAS'!$B$2:$B$5000,$A33,'VENTAS DIARIAS'!$E$2:$E$5000))</f>
        <v/>
      </c>
      <c r="D33" s="31" t="n"/>
      <c r="E33" s="31" t="n"/>
      <c r="F33" s="31" t="n"/>
      <c r="G33" s="31" t="n"/>
      <c r="H33" s="17">
        <f>C33</f>
        <v/>
      </c>
      <c r="I33" s="18">
        <f>D33+E33+F33+G33</f>
        <v/>
      </c>
      <c r="J33" s="18">
        <f>H33-I33</f>
        <v/>
      </c>
      <c r="K33" s="68" t="n"/>
      <c r="L33" s="68" t="n"/>
      <c r="M33" s="68" t="n"/>
    </row>
    <row r="34" ht="15.75" customHeight="1" s="102">
      <c r="A34" s="19" t="n">
        <v>46323</v>
      </c>
      <c r="B34" s="69" t="inlineStr">
        <is>
          <t>Miércoles</t>
        </is>
      </c>
      <c r="C34" s="31">
        <f>IF($A34="","",SUMIF('VENTAS DIARIAS'!$B$2:$B$5000,$A34,'VENTAS DIARIAS'!$E$2:$E$5000))</f>
        <v/>
      </c>
      <c r="D34" s="31" t="n"/>
      <c r="E34" s="31" t="n"/>
      <c r="F34" s="31" t="n"/>
      <c r="G34" s="31" t="n"/>
      <c r="H34" s="17">
        <f>C34</f>
        <v/>
      </c>
      <c r="I34" s="18">
        <f>D34+E34+F34+G34</f>
        <v/>
      </c>
      <c r="J34" s="18">
        <f>H34-I34</f>
        <v/>
      </c>
      <c r="K34" s="68" t="n"/>
      <c r="L34" s="68" t="n"/>
      <c r="M34" s="68" t="n"/>
    </row>
    <row r="35" ht="15.75" customHeight="1" s="102">
      <c r="A35" s="19" t="n">
        <v>46324</v>
      </c>
      <c r="B35" s="69" t="inlineStr">
        <is>
          <t>Jueves</t>
        </is>
      </c>
      <c r="C35" s="31">
        <f>IF($A35="","",SUMIF('VENTAS DIARIAS'!$B$2:$B$5000,$A35,'VENTAS DIARIAS'!$E$2:$E$5000))</f>
        <v/>
      </c>
      <c r="D35" s="31" t="n"/>
      <c r="E35" s="31" t="n"/>
      <c r="F35" s="31" t="n"/>
      <c r="G35" s="31" t="n"/>
      <c r="H35" s="17">
        <f>C35</f>
        <v/>
      </c>
      <c r="I35" s="18">
        <f>D35+E35+F35+G35</f>
        <v/>
      </c>
      <c r="J35" s="18">
        <f>H35-I35</f>
        <v/>
      </c>
    </row>
    <row r="36" ht="15.75" customHeight="1" s="102">
      <c r="A36" s="19" t="n">
        <v>46325</v>
      </c>
      <c r="B36" s="69" t="inlineStr">
        <is>
          <t>viernes</t>
        </is>
      </c>
      <c r="C36" s="31">
        <f>IF($A36="","",SUMIF('VENTAS DIARIAS'!$B$2:$B$5000,$A36,'VENTAS DIARIAS'!$E$2:$E$5000))</f>
        <v/>
      </c>
      <c r="D36" s="31" t="n"/>
      <c r="E36" s="31" t="n"/>
      <c r="F36" s="31" t="n">
        <v>500000</v>
      </c>
      <c r="G36" s="31" t="n"/>
      <c r="H36" s="17">
        <f>C36</f>
        <v/>
      </c>
      <c r="I36" s="18">
        <f>D36+E36+F36+G36</f>
        <v/>
      </c>
      <c r="J36" s="18">
        <f>H36-I36</f>
        <v/>
      </c>
    </row>
    <row r="37" ht="15.75" customHeight="1" s="102">
      <c r="A37" s="19" t="n">
        <v>46326</v>
      </c>
      <c r="B37" s="69" t="inlineStr">
        <is>
          <t>sábado</t>
        </is>
      </c>
      <c r="C37" s="31">
        <f>IF($A37="","",SUMIF('VENTAS DIARIAS'!$B$2:$B$5000,$A37,'VENTAS DIARIAS'!$E$2:$E$5000))</f>
        <v/>
      </c>
      <c r="D37" s="31" t="n"/>
      <c r="E37" s="31" t="n"/>
      <c r="F37" s="31" t="n"/>
      <c r="G37" s="31" t="n"/>
      <c r="H37" s="17">
        <f>C37</f>
        <v/>
      </c>
      <c r="I37" s="18">
        <f>D37+E37+F37+G37</f>
        <v/>
      </c>
      <c r="J37" s="18">
        <f>H37-I37</f>
        <v/>
      </c>
    </row>
    <row r="38" ht="15.75" customHeight="1" s="102">
      <c r="B38" s="70" t="inlineStr">
        <is>
          <t>Total Semanal</t>
        </is>
      </c>
      <c r="C38" s="41">
        <f>SUM(C32:C37)</f>
        <v/>
      </c>
      <c r="D38" s="39">
        <f>SUM(D32:D37)</f>
        <v/>
      </c>
      <c r="E38" s="39">
        <f>SUM(E32:E37)</f>
        <v/>
      </c>
      <c r="F38" s="39">
        <f>SUM(F32:F37)</f>
        <v/>
      </c>
      <c r="G38" s="39">
        <f>SUM(G32:G37)</f>
        <v/>
      </c>
      <c r="H38" s="71">
        <f>SUM(H32:H37)</f>
        <v/>
      </c>
      <c r="I38" s="72">
        <f>SUM(I32:I37)</f>
        <v/>
      </c>
      <c r="J38" s="73">
        <f>SUM(J32:J37)</f>
        <v/>
      </c>
    </row>
    <row r="39" ht="15.75" customHeight="1" s="102">
      <c r="B39" s="75" t="inlineStr">
        <is>
          <t>Total Mensual</t>
        </is>
      </c>
      <c r="C39" s="76">
        <f>C10+C17+C24+C31+C38</f>
        <v/>
      </c>
      <c r="D39" s="76">
        <f>D10+D17+D24+D31+D38</f>
        <v/>
      </c>
      <c r="E39" s="76">
        <f>E10+E17+E24+E31+E38</f>
        <v/>
      </c>
      <c r="F39" s="76">
        <f>F10+F17+F24+F31+F38</f>
        <v/>
      </c>
      <c r="G39" s="76">
        <f>G10+G17+G24+G31+G38</f>
        <v/>
      </c>
      <c r="H39" s="76">
        <f>H10+H17+H24+H31+H38</f>
        <v/>
      </c>
      <c r="I39" s="76">
        <f>I10+I17+I24+I31+I38</f>
        <v/>
      </c>
      <c r="J39" s="79">
        <f>J10+J17+J24+J31+J38</f>
        <v/>
      </c>
    </row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>
      <c r="F61" s="81" t="n"/>
      <c r="G61" s="81" t="n"/>
      <c r="I61" s="16" t="n"/>
    </row>
    <row r="62" ht="15.75" customHeight="1" s="102">
      <c r="F62" s="81" t="n"/>
      <c r="G62" s="81" t="n"/>
      <c r="I62" s="16" t="n"/>
    </row>
    <row r="63" ht="15.75" customHeight="1" s="102">
      <c r="F63" s="81" t="n"/>
      <c r="G63" s="81" t="n"/>
      <c r="I63" s="16" t="n"/>
    </row>
    <row r="64" ht="15.75" customHeight="1" s="102">
      <c r="F64" s="81" t="n"/>
      <c r="G64" s="81" t="n"/>
      <c r="I64" s="16" t="n"/>
    </row>
    <row r="65" ht="15.75" customHeight="1" s="102">
      <c r="F65" s="81" t="n"/>
      <c r="G65" s="81" t="n"/>
      <c r="I65" s="16" t="n"/>
    </row>
    <row r="66" ht="15.75" customHeight="1" s="102">
      <c r="F66" s="81" t="n"/>
      <c r="G66" s="81" t="n"/>
      <c r="I66" s="16" t="n"/>
    </row>
    <row r="67" ht="15.75" customHeight="1" s="102">
      <c r="F67" s="81" t="n"/>
      <c r="G67" s="81" t="n"/>
      <c r="I67" s="16" t="n"/>
    </row>
    <row r="68" ht="15.75" customHeight="1" s="102">
      <c r="F68" s="81" t="n"/>
      <c r="G68" s="81" t="n"/>
      <c r="I68" s="16" t="n"/>
    </row>
    <row r="69" ht="15.75" customHeight="1" s="102">
      <c r="F69" s="81" t="n"/>
      <c r="G69" s="81" t="n"/>
      <c r="I69" s="16" t="n"/>
    </row>
    <row r="70" ht="15.75" customHeight="1" s="102">
      <c r="F70" s="81" t="n"/>
      <c r="G70" s="81" t="n"/>
      <c r="I70" s="16" t="n"/>
    </row>
    <row r="71" ht="15.75" customHeight="1" s="102">
      <c r="F71" s="81" t="n"/>
      <c r="G71" s="81" t="n"/>
      <c r="I71" s="16" t="n"/>
    </row>
    <row r="72" ht="15.75" customHeight="1" s="102">
      <c r="F72" s="81" t="n"/>
      <c r="G72" s="81" t="n"/>
      <c r="I72" s="16" t="n"/>
    </row>
    <row r="73" ht="15.75" customHeight="1" s="102">
      <c r="F73" s="81" t="n"/>
      <c r="G73" s="81" t="n"/>
      <c r="I73" s="16" t="n"/>
    </row>
    <row r="74" ht="15.75" customHeight="1" s="102">
      <c r="F74" s="81" t="n"/>
      <c r="G74" s="81" t="n"/>
      <c r="I74" s="16" t="n"/>
    </row>
    <row r="75" ht="15.75" customHeight="1" s="102">
      <c r="F75" s="81" t="n"/>
      <c r="G75" s="81" t="n"/>
      <c r="I75" s="16" t="n"/>
    </row>
    <row r="76" ht="15.75" customHeight="1" s="102">
      <c r="I76" s="16" t="n"/>
    </row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11">
    <mergeCell ref="E1:G2"/>
    <mergeCell ref="L7:M7"/>
    <mergeCell ref="R7:S7"/>
    <mergeCell ref="P7:Q7"/>
    <mergeCell ref="N7:O7"/>
    <mergeCell ref="L6:M6"/>
    <mergeCell ref="N6:O6"/>
    <mergeCell ref="P6:Q6"/>
    <mergeCell ref="R6:S6"/>
    <mergeCell ref="B1:B2"/>
    <mergeCell ref="L5:S5"/>
  </mergeCells>
  <pageMargins left="0.7" right="0.7" top="0.75" bottom="0.75" header="0" footer="0"/>
  <pageSetup orientation="portrait" paperSize="8" scale="8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J34"/>
  <sheetViews>
    <sheetView workbookViewId="0">
      <selection activeCell="A1" sqref="A1"/>
    </sheetView>
  </sheetViews>
  <sheetFormatPr baseColWidth="8" defaultColWidth="14.43" defaultRowHeight="15" customHeight="1"/>
  <cols>
    <col width="23" customWidth="1" style="102" min="5" max="5"/>
    <col width="16.29" customWidth="1" style="102" min="6" max="6"/>
    <col width="18.43" customWidth="1" style="102" min="7" max="7"/>
    <col width="18.71" customWidth="1" style="102" min="8" max="8"/>
    <col width="15.29" customWidth="1" style="102" min="9" max="9"/>
  </cols>
  <sheetData>
    <row r="2">
      <c r="B2" s="113" t="n"/>
      <c r="C2" s="114" t="n"/>
      <c r="D2" s="114" t="n"/>
      <c r="E2" s="114" t="n"/>
      <c r="F2" s="114" t="n"/>
      <c r="G2" s="114" t="n"/>
      <c r="H2" s="115" t="n"/>
    </row>
    <row r="3">
      <c r="B3" s="6" t="inlineStr">
        <is>
          <t>MES</t>
        </is>
      </c>
      <c r="C3" s="8" t="inlineStr">
        <is>
          <t>Ingresos</t>
        </is>
      </c>
      <c r="D3" s="8" t="inlineStr">
        <is>
          <t>Gastos</t>
        </is>
      </c>
      <c r="E3" s="8" t="inlineStr">
        <is>
          <t>Total Ingresos</t>
        </is>
      </c>
      <c r="F3" s="8" t="n"/>
      <c r="G3" s="8" t="inlineStr">
        <is>
          <t>Total Egresos</t>
        </is>
      </c>
      <c r="H3" s="11" t="inlineStr">
        <is>
          <t>Resultado Neto</t>
        </is>
      </c>
    </row>
    <row r="4">
      <c r="B4" s="13" t="n"/>
      <c r="C4" s="16" t="n"/>
      <c r="D4" s="16" t="n"/>
      <c r="E4" s="16">
        <f>C4</f>
        <v/>
      </c>
      <c r="F4" s="16" t="n"/>
      <c r="G4" s="16">
        <f>D4</f>
        <v/>
      </c>
      <c r="H4" s="25">
        <f>E4-G4</f>
        <v/>
      </c>
      <c r="J4" s="31" t="n"/>
    </row>
    <row r="5">
      <c r="B5" s="13" t="n"/>
      <c r="C5" s="16" t="n"/>
      <c r="D5" s="16" t="n"/>
      <c r="E5" s="16">
        <f>C5</f>
        <v/>
      </c>
      <c r="F5" s="16" t="n"/>
      <c r="G5" s="16">
        <f>D5</f>
        <v/>
      </c>
      <c r="H5" s="25">
        <f>E5-G5</f>
        <v/>
      </c>
      <c r="J5" s="31" t="n"/>
    </row>
    <row r="6">
      <c r="B6" s="13" t="n"/>
      <c r="C6" s="16" t="n"/>
      <c r="D6" s="16" t="n"/>
      <c r="E6" s="16">
        <f>C6</f>
        <v/>
      </c>
      <c r="F6" s="16" t="n"/>
      <c r="G6" s="16">
        <f>D6</f>
        <v/>
      </c>
      <c r="H6" s="25">
        <f>E6-G6</f>
        <v/>
      </c>
      <c r="J6" s="31" t="n"/>
    </row>
    <row r="7">
      <c r="B7" s="13" t="n"/>
      <c r="C7" s="16" t="n"/>
      <c r="D7" s="16" t="n"/>
      <c r="E7" s="16">
        <f>C7</f>
        <v/>
      </c>
      <c r="F7" s="16" t="n"/>
      <c r="G7" s="16">
        <f>D7</f>
        <v/>
      </c>
      <c r="H7" s="25">
        <f>E7-G7</f>
        <v/>
      </c>
      <c r="J7" s="31" t="n"/>
    </row>
    <row r="8">
      <c r="B8" s="13" t="n"/>
      <c r="C8" s="16" t="n"/>
      <c r="D8" s="16" t="n"/>
      <c r="E8" s="16">
        <f>C8</f>
        <v/>
      </c>
      <c r="F8" s="16" t="n"/>
      <c r="G8" s="16">
        <f>D8</f>
        <v/>
      </c>
      <c r="H8" s="25">
        <f>E8-G8</f>
        <v/>
      </c>
      <c r="J8" s="31" t="n"/>
    </row>
    <row r="9">
      <c r="B9" s="13" t="n"/>
      <c r="C9" s="16" t="n"/>
      <c r="D9" s="16" t="n"/>
      <c r="E9" s="16">
        <f>C9</f>
        <v/>
      </c>
      <c r="F9" s="16" t="n"/>
      <c r="G9" s="16">
        <f>D9</f>
        <v/>
      </c>
      <c r="H9" s="25">
        <f>E9-G9</f>
        <v/>
      </c>
      <c r="J9" s="31" t="n"/>
    </row>
    <row r="10">
      <c r="B10" s="13" t="n"/>
      <c r="C10" s="30" t="n"/>
      <c r="D10" s="16" t="n"/>
      <c r="E10" s="16">
        <f>C10</f>
        <v/>
      </c>
      <c r="F10" s="16" t="n"/>
      <c r="G10" s="16">
        <f>D10</f>
        <v/>
      </c>
      <c r="H10" s="25">
        <f>E10-G10</f>
        <v/>
      </c>
    </row>
    <row r="11">
      <c r="B11" s="13" t="n"/>
      <c r="C11" s="30" t="n"/>
      <c r="D11" s="16" t="n"/>
      <c r="E11" s="16">
        <f>C11</f>
        <v/>
      </c>
      <c r="F11" s="16" t="n"/>
      <c r="G11" s="16">
        <f>D11</f>
        <v/>
      </c>
      <c r="H11" s="25">
        <f>E11-G11</f>
        <v/>
      </c>
    </row>
    <row r="12">
      <c r="B12" s="13" t="n"/>
      <c r="C12" s="30" t="n"/>
      <c r="D12" s="16" t="n"/>
      <c r="E12" s="16">
        <f>C12</f>
        <v/>
      </c>
      <c r="F12" s="16" t="n"/>
      <c r="G12" s="16">
        <f>D12</f>
        <v/>
      </c>
      <c r="H12" s="25">
        <f>E12-G12</f>
        <v/>
      </c>
    </row>
    <row r="13">
      <c r="B13" s="32" t="n"/>
      <c r="C13" s="33" t="n"/>
      <c r="D13" s="33" t="n"/>
      <c r="E13" s="35">
        <f>C13</f>
        <v/>
      </c>
      <c r="F13" s="33" t="n"/>
      <c r="G13" s="33" t="n"/>
      <c r="H13" s="38">
        <f>H4+H5+H6+H7+H8+H9+H10+H11+H12</f>
        <v/>
      </c>
    </row>
    <row r="14">
      <c r="D14" s="40" t="n"/>
    </row>
    <row r="15"/>
    <row r="16">
      <c r="B16" s="116" t="inlineStr">
        <is>
          <t>BANCO</t>
        </is>
      </c>
      <c r="C16" s="114" t="n"/>
      <c r="D16" s="114" t="n"/>
      <c r="E16" s="114" t="n"/>
      <c r="F16" s="114" t="n"/>
      <c r="G16" s="114" t="n"/>
      <c r="H16" s="114" t="n"/>
      <c r="I16" s="115" t="n"/>
    </row>
    <row r="17">
      <c r="B17" s="44" t="inlineStr">
        <is>
          <t>FECHA</t>
        </is>
      </c>
      <c r="C17" s="46" t="inlineStr">
        <is>
          <t>Ingresos</t>
        </is>
      </c>
      <c r="D17" s="46" t="inlineStr">
        <is>
          <t>Gastos</t>
        </is>
      </c>
      <c r="E17" s="46" t="inlineStr">
        <is>
          <t>Total Ingresos</t>
        </is>
      </c>
      <c r="F17" s="46" t="inlineStr">
        <is>
          <t>E-cheq</t>
        </is>
      </c>
      <c r="G17" s="46" t="inlineStr">
        <is>
          <t>Descubierto</t>
        </is>
      </c>
      <c r="H17" s="46" t="inlineStr">
        <is>
          <t>Resultado Neto</t>
        </is>
      </c>
      <c r="I17" s="47" t="inlineStr">
        <is>
          <t>Proveedor</t>
        </is>
      </c>
    </row>
    <row r="18">
      <c r="B18" s="48" t="n">
        <v>46316</v>
      </c>
      <c r="C18" s="16" t="n"/>
      <c r="D18" s="16" t="n"/>
      <c r="E18" s="16">
        <f>C18</f>
        <v/>
      </c>
      <c r="F18" s="49" t="n">
        <v>697950</v>
      </c>
      <c r="G18" s="49" t="n">
        <v>10000000</v>
      </c>
      <c r="H18" s="16">
        <f>E18-G18-F18</f>
        <v/>
      </c>
      <c r="I18" s="50" t="n"/>
    </row>
    <row r="19">
      <c r="B19" s="48" t="n">
        <v>46322</v>
      </c>
      <c r="C19" s="16" t="n"/>
      <c r="D19" s="16" t="n"/>
      <c r="E19" s="16" t="n"/>
      <c r="F19" s="49" t="n">
        <v>1473218</v>
      </c>
      <c r="G19" s="49" t="n"/>
      <c r="H19" s="16">
        <f>E19-G19-F19</f>
        <v/>
      </c>
      <c r="I19" s="51" t="inlineStr">
        <is>
          <t>VEIZA</t>
        </is>
      </c>
    </row>
    <row r="20">
      <c r="B20" s="48" t="n">
        <v>46326</v>
      </c>
      <c r="C20" s="16" t="n"/>
      <c r="D20" s="16" t="n"/>
      <c r="E20" s="16">
        <f>C20</f>
        <v/>
      </c>
      <c r="F20" s="49" t="n">
        <v>780087</v>
      </c>
      <c r="G20" s="49">
        <f>D20</f>
        <v/>
      </c>
      <c r="H20" s="16">
        <f>E20-G20-F20</f>
        <v/>
      </c>
      <c r="I20" s="51" t="inlineStr">
        <is>
          <t>TEFQUIM</t>
        </is>
      </c>
    </row>
    <row r="21">
      <c r="B21" s="48" t="n">
        <v>46336</v>
      </c>
      <c r="C21" s="16" t="n"/>
      <c r="D21" s="16" t="n"/>
      <c r="E21" s="16">
        <f>C21</f>
        <v/>
      </c>
      <c r="F21" s="49" t="n">
        <v>1000000</v>
      </c>
      <c r="G21" s="49">
        <f>D21</f>
        <v/>
      </c>
      <c r="H21" s="16">
        <f>E21-G21-F21</f>
        <v/>
      </c>
      <c r="I21" s="51" t="inlineStr">
        <is>
          <t>ALAMO</t>
        </is>
      </c>
    </row>
    <row r="22">
      <c r="B22" s="48" t="n">
        <v>46347</v>
      </c>
      <c r="C22" s="30" t="n"/>
      <c r="D22" s="16" t="n"/>
      <c r="E22" s="16">
        <f>C22</f>
        <v/>
      </c>
      <c r="F22" s="49" t="n">
        <v>697950</v>
      </c>
      <c r="G22" s="49">
        <f>D22</f>
        <v/>
      </c>
      <c r="H22" s="16">
        <f>E22-G22-F22</f>
        <v/>
      </c>
      <c r="I22" s="51" t="inlineStr">
        <is>
          <t>VEIZA</t>
        </is>
      </c>
    </row>
    <row r="23">
      <c r="B23" s="48" t="n">
        <v>46347</v>
      </c>
      <c r="C23" s="30" t="n"/>
      <c r="D23" s="16" t="n"/>
      <c r="E23" s="16">
        <f>C23</f>
        <v/>
      </c>
      <c r="F23" s="49" t="n">
        <v>782628</v>
      </c>
      <c r="G23" s="49">
        <f>D23</f>
        <v/>
      </c>
      <c r="H23" s="16">
        <f>E23-G23-F23</f>
        <v/>
      </c>
      <c r="I23" s="51" t="inlineStr">
        <is>
          <t>TEFQUIM</t>
        </is>
      </c>
    </row>
    <row r="24">
      <c r="B24" s="48" t="n">
        <v>46351</v>
      </c>
      <c r="C24" s="30" t="n"/>
      <c r="D24" s="16" t="n"/>
      <c r="E24" s="16">
        <f>C24</f>
        <v/>
      </c>
      <c r="F24" s="49" t="n">
        <v>1453000</v>
      </c>
      <c r="G24" s="49">
        <f>D24</f>
        <v/>
      </c>
      <c r="H24" s="16">
        <f>E24-G24-F24</f>
        <v/>
      </c>
      <c r="I24" s="51" t="inlineStr">
        <is>
          <t>ALAMO</t>
        </is>
      </c>
    </row>
    <row r="25">
      <c r="B25" s="48" t="n">
        <v>46354</v>
      </c>
      <c r="F25" s="49" t="n">
        <v>1473218</v>
      </c>
      <c r="H25" s="16">
        <f>E25-G25-F25</f>
        <v/>
      </c>
      <c r="I25" s="51" t="inlineStr">
        <is>
          <t>VEIZA</t>
        </is>
      </c>
    </row>
    <row r="26">
      <c r="B26" s="48" t="n">
        <v>46356</v>
      </c>
      <c r="F26" s="49" t="n">
        <v>780087</v>
      </c>
      <c r="H26" s="16">
        <f>E26-G26-F26</f>
        <v/>
      </c>
      <c r="I26" s="51" t="inlineStr">
        <is>
          <t>TEFQUIM</t>
        </is>
      </c>
    </row>
    <row r="27">
      <c r="B27" s="48" t="n">
        <v>46366</v>
      </c>
      <c r="F27" s="49" t="n">
        <v>1000000</v>
      </c>
      <c r="H27" s="16">
        <f>E27-G27-F27</f>
        <v/>
      </c>
      <c r="I27" s="51" t="inlineStr">
        <is>
          <t>ALAMO</t>
        </is>
      </c>
    </row>
    <row r="28">
      <c r="B28" s="48" t="n">
        <v>46377</v>
      </c>
      <c r="F28" s="49" t="n">
        <v>782628</v>
      </c>
      <c r="H28" s="16">
        <f>E28-G28-F28</f>
        <v/>
      </c>
      <c r="I28" s="51" t="inlineStr">
        <is>
          <t>TEFQUIM</t>
        </is>
      </c>
    </row>
    <row r="29">
      <c r="B29" s="48" t="n">
        <v>46381</v>
      </c>
      <c r="F29" s="49" t="n">
        <v>1453000</v>
      </c>
      <c r="H29" s="16">
        <f>E29-G29-F29</f>
        <v/>
      </c>
      <c r="I29" s="51" t="inlineStr">
        <is>
          <t>ALAMO</t>
        </is>
      </c>
    </row>
    <row r="30">
      <c r="B30" s="48" t="n">
        <v>46043</v>
      </c>
      <c r="F30" s="49" t="n">
        <v>782628</v>
      </c>
      <c r="H30" s="16">
        <f>E30-G30-F30</f>
        <v/>
      </c>
      <c r="I30" s="51" t="inlineStr">
        <is>
          <t>TEFQUIM</t>
        </is>
      </c>
    </row>
    <row r="31">
      <c r="B31" s="48" t="n"/>
      <c r="F31" s="49" t="n"/>
      <c r="H31" s="16">
        <f>E31-G31-F31</f>
        <v/>
      </c>
      <c r="I31" s="50" t="n"/>
    </row>
    <row r="32">
      <c r="B32" s="48" t="n"/>
      <c r="F32" s="49" t="n"/>
      <c r="H32" s="16">
        <f>E32-G32-F32</f>
        <v/>
      </c>
      <c r="I32" s="50" t="n"/>
    </row>
    <row r="33">
      <c r="B33" s="56" t="n"/>
      <c r="F33" s="49" t="n"/>
      <c r="H33" s="16">
        <f>E33-G33-F33</f>
        <v/>
      </c>
      <c r="I33" s="50" t="n"/>
    </row>
    <row r="34">
      <c r="B34" s="58" t="inlineStr">
        <is>
          <t>TOTAL</t>
        </is>
      </c>
      <c r="C34" s="33" t="n"/>
      <c r="D34" s="33" t="n"/>
      <c r="E34" s="35">
        <f>C34</f>
        <v/>
      </c>
      <c r="F34" s="60" t="n"/>
      <c r="G34" s="60">
        <f>D34</f>
        <v/>
      </c>
      <c r="H34" s="62">
        <f>SUM(H18:H33)</f>
        <v/>
      </c>
      <c r="I34" s="63" t="n"/>
    </row>
  </sheetData>
  <mergeCells count="3">
    <mergeCell ref="D14:G15"/>
    <mergeCell ref="B2:H2"/>
    <mergeCell ref="B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2024-08-28T20:40:28Z</dcterms:created>
  <dcterms:modified xsi:type="dcterms:W3CDTF">2026-10-22T14:54:05Z</dcterms:modified>
</cp:coreProperties>
</file>