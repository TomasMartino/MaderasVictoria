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Default Extension="jpg" ContentType="image/jpeg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LIENTES" sheetId="1" state="visible" r:id="rId1"/>
    <sheet name="PRECIOS" sheetId="2" state="hidden" r:id="rId2"/>
  </sheets>
  <definedNames>
    <definedName name="kikt">#REF!</definedName>
    <definedName name="PRODUCTOS">#REF!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$]#,##0"/>
  </numFmts>
  <fonts count="33">
    <font>
      <name val="Arial"/>
      <color rgb="FF000000"/>
      <sz val="10"/>
      <scheme val="minor"/>
    </font>
    <font>
      <name val="Arial"/>
      <i val="1"/>
      <color theme="1"/>
      <sz val="18"/>
    </font>
    <font/>
    <font>
      <name val="Arial"/>
      <b val="1"/>
      <i val="1"/>
      <color theme="1"/>
      <sz val="20"/>
    </font>
    <font>
      <name val="Arial"/>
      <b val="1"/>
      <i val="1"/>
      <color theme="1"/>
      <sz val="18"/>
    </font>
    <font>
      <name val="Arial"/>
      <b val="1"/>
      <i val="1"/>
      <color rgb="FF000000"/>
      <sz val="40"/>
    </font>
    <font>
      <name val="Arial"/>
      <i val="1"/>
      <color rgb="FF000000"/>
      <sz val="18"/>
    </font>
    <font>
      <name val="Arial"/>
      <b val="1"/>
      <i val="1"/>
      <color theme="1"/>
      <sz val="19"/>
    </font>
    <font>
      <name val="Arial"/>
      <color theme="1"/>
      <sz val="11"/>
      <scheme val="minor"/>
    </font>
    <font>
      <name val="Arial"/>
      <b val="1"/>
      <i val="1"/>
      <color rgb="FF000000"/>
      <sz val="19"/>
    </font>
    <font>
      <name val="Arial"/>
      <b val="1"/>
      <i val="1"/>
      <color rgb="FF000000"/>
      <sz val="18"/>
    </font>
    <font>
      <name val="Arial"/>
      <b val="1"/>
      <i val="1"/>
      <color theme="1"/>
      <sz val="17"/>
    </font>
    <font>
      <name val="Arial"/>
      <color theme="1"/>
      <sz val="18"/>
    </font>
    <font>
      <name val="Arial"/>
      <color rgb="FF000000"/>
      <sz val="18"/>
    </font>
    <font>
      <name val="Arial"/>
      <b val="1"/>
      <i val="1"/>
      <color rgb="FF000000"/>
      <sz val="17"/>
    </font>
    <font>
      <name val="Arial"/>
      <color theme="1"/>
      <sz val="22"/>
      <scheme val="minor"/>
    </font>
    <font>
      <name val="Arial"/>
      <color theme="1"/>
      <sz val="18"/>
      <scheme val="minor"/>
    </font>
    <font>
      <name val="Arial"/>
      <color theme="1"/>
      <sz val="17"/>
    </font>
    <font>
      <name val="Arial"/>
      <color rgb="FF000000"/>
      <sz val="17"/>
    </font>
    <font>
      <name val="Arial"/>
      <i val="1"/>
      <color theme="1"/>
      <sz val="17"/>
    </font>
    <font>
      <name val="Arial"/>
      <b val="1"/>
      <i val="1"/>
      <color theme="1"/>
      <sz val="24"/>
    </font>
    <font>
      <name val="Arial"/>
      <color theme="1"/>
      <sz val="24"/>
    </font>
    <font>
      <name val="Arial"/>
      <color rgb="FF000000"/>
      <sz val="24"/>
    </font>
    <font>
      <name val="Arial"/>
      <i val="1"/>
      <color theme="1"/>
      <sz val="16"/>
    </font>
    <font>
      <name val="Arial"/>
      <b val="1"/>
      <i val="1"/>
      <color theme="1"/>
      <sz val="64"/>
    </font>
    <font>
      <name val="Arial"/>
      <b val="1"/>
      <i val="1"/>
      <color rgb="FF000000"/>
      <sz val="16"/>
    </font>
    <font>
      <name val="Arial"/>
      <b val="1"/>
      <i val="1"/>
      <color theme="1"/>
      <sz val="16"/>
    </font>
    <font>
      <name val="Arial"/>
      <color theme="1"/>
      <sz val="16"/>
    </font>
    <font>
      <name val="Arial"/>
      <color theme="1"/>
      <scheme val="minor"/>
    </font>
    <font>
      <name val="Arial"/>
      <color theme="1"/>
    </font>
    <font>
      <name val="Arial"/>
      <b val="1"/>
      <i val="1"/>
      <color rgb="FF000000"/>
      <sz val="20"/>
    </font>
    <font>
      <b val="1"/>
      <sz val="10"/>
    </font>
    <font>
      <name val="Calibri"/>
      <b val="1"/>
      <sz val="12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2F3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1" fillId="2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164" fontId="4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0" fontId="1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0" borderId="5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0" fillId="3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2" fillId="0" borderId="8" pivotButton="0" quotePrefix="0" xfId="0"/>
    <xf numFmtId="0" fontId="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center" vertical="bottom"/>
    </xf>
    <xf numFmtId="165" fontId="12" fillId="0" borderId="2" applyAlignment="1" pivotButton="0" quotePrefix="0" xfId="0">
      <alignment horizontal="center" vertical="center" wrapText="1"/>
    </xf>
    <xf numFmtId="165" fontId="14" fillId="2" borderId="9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5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165" fontId="14" fillId="2" borderId="5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/>
    </xf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23" fillId="0" borderId="4" applyAlignment="1" pivotButton="0" quotePrefix="0" xfId="0">
      <alignment horizontal="center"/>
    </xf>
    <xf numFmtId="165" fontId="21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textRotation="45" wrapText="1"/>
    </xf>
    <xf numFmtId="0" fontId="23" fillId="0" borderId="0" applyAlignment="1" pivotButton="0" quotePrefix="0" xfId="0">
      <alignment horizontal="center" vertical="bottom" wrapText="1"/>
    </xf>
    <xf numFmtId="0" fontId="21" fillId="0" borderId="0" applyAlignment="1" pivotButton="0" quotePrefix="0" xfId="0">
      <alignment horizontal="center" textRotation="45"/>
    </xf>
    <xf numFmtId="165" fontId="25" fillId="2" borderId="5" applyAlignment="1" pivotButton="0" quotePrefix="0" xfId="0">
      <alignment horizontal="center"/>
    </xf>
    <xf numFmtId="165" fontId="20" fillId="0" borderId="0" applyAlignment="1" pivotButton="0" quotePrefix="0" xfId="0">
      <alignment horizontal="center" vertical="bottom" wrapText="1"/>
    </xf>
    <xf numFmtId="165" fontId="26" fillId="0" borderId="0" applyAlignment="1" pivotButton="0" quotePrefix="0" xfId="0">
      <alignment horizontal="center" vertical="bottom" wrapText="1"/>
    </xf>
    <xf numFmtId="0" fontId="27" fillId="2" borderId="0" pivotButton="0" quotePrefix="0" xfId="0"/>
    <xf numFmtId="0" fontId="2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65" fontId="11" fillId="0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center" vertical="center"/>
    </xf>
    <xf numFmtId="165" fontId="14" fillId="2" borderId="5" applyAlignment="1" pivotButton="0" quotePrefix="0" xfId="0">
      <alignment horizontal="center"/>
    </xf>
    <xf numFmtId="0" fontId="28" fillId="0" borderId="4" pivotButton="0" quotePrefix="0" xfId="0"/>
    <xf numFmtId="0" fontId="29" fillId="0" borderId="0" applyAlignment="1" pivotButton="0" quotePrefix="0" xfId="0">
      <alignment horizontal="right"/>
    </xf>
    <xf numFmtId="0" fontId="30" fillId="2" borderId="4" applyAlignment="1" pivotButton="0" quotePrefix="0" xfId="0">
      <alignment horizontal="center" vertical="center"/>
    </xf>
    <xf numFmtId="0" fontId="30" fillId="2" borderId="0" applyAlignment="1" pivotButton="0" quotePrefix="0" xfId="0">
      <alignment horizontal="center" vertical="center"/>
    </xf>
    <xf numFmtId="165" fontId="30" fillId="2" borderId="0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6" pivotButton="0" quotePrefix="0" xfId="0"/>
    <xf numFmtId="0" fontId="0" fillId="0" borderId="0" pivotButton="0" quotePrefix="0" xfId="0"/>
    <xf numFmtId="0" fontId="0" fillId="0" borderId="2" pivotButton="0" quotePrefix="0" xfId="0"/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" applyAlignment="1" pivotButton="0" quotePrefix="0" xfId="0">
      <alignment horizontal="center" vertical="center"/>
    </xf>
    <xf numFmtId="0" fontId="0" fillId="0" borderId="8" pivotButton="0" quotePrefix="0" xfId="0"/>
    <xf numFmtId="2" fontId="12" fillId="0" borderId="2" applyAlignment="1" pivotButton="0" quotePrefix="0" xfId="0">
      <alignment horizontal="center" vertical="bottom"/>
    </xf>
    <xf numFmtId="2" fontId="13" fillId="0" borderId="2" applyAlignment="1" pivotButton="0" quotePrefix="0" xfId="0">
      <alignment horizontal="center" vertical="bottom"/>
    </xf>
    <xf numFmtId="2" fontId="12" fillId="0" borderId="0" applyAlignment="1" pivotButton="0" quotePrefix="0" xfId="0">
      <alignment horizontal="center" vertical="bottom"/>
    </xf>
    <xf numFmtId="2" fontId="13" fillId="0" borderId="0" applyAlignment="1" pivotButton="0" quotePrefix="0" xfId="0">
      <alignment horizontal="center" vertical="bottom"/>
    </xf>
    <xf numFmtId="2" fontId="12" fillId="0" borderId="0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2" fontId="17" fillId="0" borderId="0" applyAlignment="1" pivotButton="0" quotePrefix="0" xfId="0">
      <alignment horizontal="center" vertical="bottom"/>
    </xf>
    <xf numFmtId="2" fontId="18" fillId="0" borderId="0" applyAlignment="1" pivotButton="0" quotePrefix="0" xfId="0">
      <alignment horizontal="center" vertical="bottom"/>
    </xf>
    <xf numFmtId="2" fontId="21" fillId="0" borderId="0" applyAlignment="1" pivotButton="0" quotePrefix="0" xfId="0">
      <alignment horizontal="center" vertical="bottom"/>
    </xf>
    <xf numFmtId="2" fontId="22" fillId="0" borderId="0" applyAlignment="1" pivotButton="0" quotePrefix="0" xfId="0">
      <alignment horizontal="center" vertical="bottom"/>
    </xf>
    <xf numFmtId="165" fontId="21" fillId="0" borderId="0" applyAlignment="1" pivotButton="0" quotePrefix="0" xfId="0">
      <alignment horizontal="center" textRotation="45"/>
    </xf>
    <xf numFmtId="2" fontId="27" fillId="0" borderId="0" applyAlignment="1" pivotButton="0" quotePrefix="0" xfId="0">
      <alignment horizontal="center"/>
    </xf>
    <xf numFmtId="2" fontId="17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0" fontId="30" fillId="2" borderId="10" applyAlignment="1" pivotButton="0" quotePrefix="0" xfId="0">
      <alignment horizontal="center" vertical="center"/>
    </xf>
    <xf numFmtId="0" fontId="32" fillId="2" borderId="11" applyAlignment="1" pivotButton="0" quotePrefix="0" xfId="0">
      <alignment horizontal="right"/>
    </xf>
    <xf numFmtId="0" fontId="30" fillId="2" borderId="11" applyAlignment="1" pivotButton="0" quotePrefix="0" xfId="0">
      <alignment horizontal="center" vertical="center"/>
    </xf>
    <xf numFmtId="165" fontId="32" fillId="2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31" fillId="4" borderId="12" applyAlignment="1" pivotButton="0" quotePrefix="0" xfId="0">
      <alignment horizontal="center"/>
    </xf>
    <xf numFmtId="0" fontId="31" fillId="5" borderId="12" pivotButton="0" quotePrefix="0" xfId="0"/>
    <xf numFmtId="2" fontId="0" fillId="6" borderId="12" pivotButton="0" quotePrefix="0" xfId="0"/>
    <xf numFmtId="0" fontId="0" fillId="0" borderId="12" pivotButton="0" quotePrefix="0" xfId="0"/>
    <xf numFmtId="165" fontId="0" fillId="0" borderId="12" pivotButton="0" quotePrefix="0" xfId="0"/>
    <xf numFmtId="0" fontId="0" fillId="0" borderId="12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9525</xdr:rowOff>
    </xdr:from>
    <xdr:ext cx="3162300" cy="2352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781050" cy="781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  <pageSetUpPr fitToPage="1"/>
  </sheetPr>
  <dimension ref="A1:U247"/>
  <sheetViews>
    <sheetView workbookViewId="0">
      <selection activeCell="A1" sqref="A1"/>
    </sheetView>
  </sheetViews>
  <sheetFormatPr baseColWidth="8" defaultColWidth="12.63" defaultRowHeight="15" customHeight="1"/>
  <cols>
    <col width="30.38" customWidth="1" style="70" min="2" max="2"/>
    <col width="13.88" customWidth="1" style="70" min="3" max="3"/>
    <col width="10.13" customWidth="1" style="70" min="4" max="4"/>
    <col width="29.63" customWidth="1" style="70" min="5" max="5"/>
    <col width="10.25" customWidth="1" style="70" min="6" max="6"/>
    <col width="27.63" customWidth="1" style="70" min="7" max="7"/>
    <col width="11.38" customWidth="1" style="70" min="8" max="8"/>
    <col width="13.63" customWidth="1" style="70" min="9" max="9"/>
    <col width="8.5" customWidth="1" style="70" min="11" max="11"/>
    <col width="17.13" customWidth="1" style="70" min="12" max="12"/>
    <col width="21.13" customWidth="1" style="70" min="13" max="13"/>
    <col width="54.13" customWidth="1" style="70" min="16" max="16"/>
  </cols>
  <sheetData>
    <row r="1" ht="45" customHeight="1" s="70">
      <c r="A1" s="1" t="n"/>
      <c r="B1" s="71" t="n"/>
      <c r="C1" s="3" t="inlineStr">
        <is>
          <t>Nombre :</t>
        </is>
      </c>
      <c r="D1" s="4" t="n"/>
      <c r="E1" s="71" t="n"/>
      <c r="F1" s="3" t="inlineStr">
        <is>
          <t>Fecha:</t>
        </is>
      </c>
      <c r="G1" s="5" t="n">
        <v>46316</v>
      </c>
      <c r="H1" s="71" t="n"/>
      <c r="I1" s="71" t="n"/>
      <c r="J1" s="72" t="inlineStr">
        <is>
          <t>PRESUPUESTO</t>
        </is>
      </c>
      <c r="K1" s="71" t="n"/>
      <c r="L1" s="71" t="n"/>
      <c r="M1" s="73" t="n"/>
    </row>
    <row r="2" ht="75" customHeight="1" s="70">
      <c r="A2" s="74" t="n"/>
      <c r="C2" s="9" t="inlineStr">
        <is>
          <t>Direccion:</t>
        </is>
      </c>
      <c r="D2" s="10" t="n"/>
      <c r="F2" s="11" t="n"/>
      <c r="G2" s="12" t="n">
        <v>2615410210</v>
      </c>
      <c r="M2" s="75" t="n"/>
      <c r="N2" s="14" t="n"/>
    </row>
    <row r="3" ht="33" customHeight="1" s="70">
      <c r="A3" s="74" t="n"/>
      <c r="C3" s="9" t="inlineStr">
        <is>
          <t>Telefono:</t>
        </is>
      </c>
      <c r="D3" s="15" t="n"/>
      <c r="G3" s="16" t="n">
        <v>2615860139</v>
      </c>
      <c r="M3" s="75" t="n"/>
    </row>
    <row r="4" ht="15" customHeight="1" s="70">
      <c r="A4" s="74" t="n"/>
      <c r="C4" s="76" t="n"/>
      <c r="M4" s="75" t="n"/>
    </row>
    <row r="5" ht="55.5" customHeight="1" s="70">
      <c r="A5" s="74" t="n"/>
      <c r="M5" s="75" t="n"/>
    </row>
    <row r="6" ht="1.5" customHeight="1" s="70">
      <c r="A6" s="74" t="n"/>
      <c r="M6" s="75" t="n"/>
    </row>
    <row r="7" ht="42" customHeight="1" s="70">
      <c r="A7" s="18" t="inlineStr">
        <is>
          <t>CANTIDADES</t>
        </is>
      </c>
      <c r="C7" s="20" t="inlineStr">
        <is>
          <t>PRODUCTOS</t>
        </is>
      </c>
      <c r="E7" s="20" t="inlineStr">
        <is>
          <t>DIAMETRO / ESPESOR</t>
        </is>
      </c>
      <c r="G7" s="20" t="inlineStr">
        <is>
          <t>DETALLE</t>
        </is>
      </c>
      <c r="H7" s="20" t="inlineStr">
        <is>
          <t>LARGO REAL</t>
        </is>
      </c>
      <c r="J7" s="20" t="inlineStr">
        <is>
          <t>LARGO A PEDIR</t>
        </is>
      </c>
      <c r="L7" s="20" t="inlineStr">
        <is>
          <t>PRECIO X METRO/U</t>
        </is>
      </c>
      <c r="M7" s="21" t="inlineStr">
        <is>
          <t>PRECIO TOTAL</t>
        </is>
      </c>
      <c r="Q7" s="14" t="n"/>
    </row>
    <row r="8" ht="28.5" customHeight="1" s="70">
      <c r="A8" s="22" t="n"/>
      <c r="B8" s="77" t="n"/>
      <c r="C8" s="24" t="n"/>
      <c r="D8" s="71" t="n"/>
      <c r="E8" s="71" t="n"/>
      <c r="F8" s="71" t="n"/>
      <c r="G8" s="25" t="n"/>
      <c r="H8" s="78" t="n"/>
      <c r="I8" s="71" t="n"/>
      <c r="J8" s="79">
        <f>IF($C8="","",IFERROR(IF(VLOOKUP($C8,PRECIOS!$A$2:$E$88,4,FALSE)&lt;&gt;"SI","",IF($H8="","",IF(OR(NOT(ISNUMBER($H8)),$H8&lt;=0,$H8&gt;50),"REVISAR LARGO",ROUND(ROUNDUP($H8/PRECIOS!$H$1,0)*PRECIOS!$H$1,2)))),""))</f>
        <v/>
      </c>
      <c r="K8" s="71" t="n"/>
      <c r="L8" s="28">
        <f>IF($C8="","",IFERROR(IF(VLOOKUP($C8,PRECIOS!$A$2:$E$88,3,FALSE)="","SIN PRECIO",VLOOKUP($C8,PRECIOS!$A$2:$E$88,3,FALSE)),"NO EN LISTA"))</f>
        <v/>
      </c>
      <c r="M8" s="29">
        <f>IF(OR($C8="",NOT(ISNUMBER($L8))),"",IF(VLOOKUP($C8,PRECIOS!$A$2:$E$88,4,FALSE)="SI",IF(NOT(ISNUMBER($J8)),"",$A8*$J8*$L8),$A8*$L8))</f>
        <v/>
      </c>
    </row>
    <row r="9" ht="27" customHeight="1" s="70">
      <c r="A9" s="30" t="n"/>
      <c r="C9" s="31" t="n"/>
      <c r="G9" s="32" t="n"/>
      <c r="H9" s="80" t="n"/>
      <c r="J9" s="81">
        <f>IF($C9="","",IFERROR(IF(VLOOKUP($C9,PRECIOS!$A$2:$E$88,4,FALSE)&lt;&gt;"SI","",IF($H9="","",IF(OR(NOT(ISNUMBER($H9)),$H9&lt;=0,$H9&gt;50),"REVISAR LARGO",ROUND(ROUNDUP($H9/PRECIOS!$H$1,0)*PRECIOS!$H$1,2)))),""))</f>
        <v/>
      </c>
      <c r="L9" s="35">
        <f>IF($C9="","",IFERROR(IF(VLOOKUP($C9,PRECIOS!$A$2:$E$88,3,FALSE)="","SIN PRECIO",VLOOKUP($C9,PRECIOS!$A$2:$E$88,3,FALSE)),"NO EN LISTA"))</f>
        <v/>
      </c>
      <c r="M9" s="29">
        <f>IF(OR($C9="",NOT(ISNUMBER($L9))),"",IF(VLOOKUP($C9,PRECIOS!$A$2:$E$88,4,FALSE)="SI",IF(NOT(ISNUMBER($J9)),"",$A9*$J9*$L9),$A9*$L9))</f>
        <v/>
      </c>
    </row>
    <row r="10">
      <c r="A10" s="30" t="n"/>
      <c r="C10" s="31" t="n"/>
      <c r="G10" s="32" t="n"/>
      <c r="H10" s="82" t="n"/>
      <c r="J10" s="83">
        <f>IF($C10="","",IFERROR(IF(VLOOKUP($C10,PRECIOS!$A$2:$E$88,4,FALSE)&lt;&gt;"SI","",IF($H10="","",IF(OR(NOT(ISNUMBER($H10)),$H10&lt;=0,$H10&gt;50),"REVISAR LARGO",ROUND(ROUNDUP($H10/PRECIOS!$H$1,0)*PRECIOS!$H$1,2)))),""))</f>
        <v/>
      </c>
      <c r="L10" s="35">
        <f>IF($C10="","",IFERROR(IF(VLOOKUP($C10,PRECIOS!$A$2:$E$88,3,FALSE)="","SIN PRECIO",VLOOKUP($C10,PRECIOS!$A$2:$E$88,3,FALSE)),"NO EN LISTA"))</f>
        <v/>
      </c>
      <c r="M10" s="29">
        <f>IF(OR($C10="",NOT(ISNUMBER($L10))),"",IF(VLOOKUP($C10,PRECIOS!$A$2:$E$88,4,FALSE)="SI",IF(NOT(ISNUMBER($J10)),"",$A10*$J10*$L10),$A10*$L10))</f>
        <v/>
      </c>
      <c r="N10" s="14" t="n"/>
      <c r="O10" s="38" t="n"/>
    </row>
    <row r="11">
      <c r="A11" s="30" t="n"/>
      <c r="C11" s="31" t="n"/>
      <c r="G11" s="32" t="n"/>
      <c r="H11" s="80" t="n"/>
      <c r="J11" s="81">
        <f>IF($C11="","",IFERROR(IF(VLOOKUP($C11,PRECIOS!$A$2:$E$88,4,FALSE)&lt;&gt;"SI","",IF($H11="","",IF(OR(NOT(ISNUMBER($H11)),$H11&lt;=0,$H11&gt;50),"REVISAR LARGO",ROUND(ROUNDUP($H11/PRECIOS!$H$1,0)*PRECIOS!$H$1,2)))),""))</f>
        <v/>
      </c>
      <c r="L11" s="35">
        <f>IF($C11="","",IFERROR(IF(VLOOKUP($C11,PRECIOS!$A$2:$E$88,3,FALSE)="","SIN PRECIO",VLOOKUP($C11,PRECIOS!$A$2:$E$88,3,FALSE)),"NO EN LISTA"))</f>
        <v/>
      </c>
      <c r="M11" s="29">
        <f>IF(OR($C11="",NOT(ISNUMBER($L11))),"",IF(VLOOKUP($C11,PRECIOS!$A$2:$E$88,4,FALSE)="SI",IF(NOT(ISNUMBER($J11)),"",$A11*$J11*$L11),$A11*$L11))</f>
        <v/>
      </c>
      <c r="O11" s="38" t="n"/>
    </row>
    <row r="12">
      <c r="A12" s="30" t="n"/>
      <c r="C12" s="31" t="n"/>
      <c r="G12" s="32" t="n"/>
      <c r="H12" s="80" t="n"/>
      <c r="J12" s="81">
        <f>IF($C12="","",IFERROR(IF(VLOOKUP($C12,PRECIOS!$A$2:$E$88,4,FALSE)&lt;&gt;"SI","",IF($H12="","",IF(OR(NOT(ISNUMBER($H12)),$H12&lt;=0,$H12&gt;50),"REVISAR LARGO",ROUND(ROUNDUP($H12/PRECIOS!$H$1,0)*PRECIOS!$H$1,2)))),""))</f>
        <v/>
      </c>
      <c r="L12" s="35">
        <f>IF($C12="","",IFERROR(IF(VLOOKUP($C12,PRECIOS!$A$2:$E$88,3,FALSE)="","SIN PRECIO",VLOOKUP($C12,PRECIOS!$A$2:$E$88,3,FALSE)),"NO EN LISTA"))</f>
        <v/>
      </c>
      <c r="M12" s="29">
        <f>IF(OR($C12="",NOT(ISNUMBER($L12))),"",IF(VLOOKUP($C12,PRECIOS!$A$2:$E$88,4,FALSE)="SI",IF(NOT(ISNUMBER($J12)),"",$A12*$J12*$L12),$A12*$L12))</f>
        <v/>
      </c>
      <c r="O12" s="38" t="n"/>
    </row>
    <row r="13">
      <c r="A13" s="30" t="n"/>
      <c r="C13" s="31" t="n"/>
      <c r="G13" s="32" t="n"/>
      <c r="H13" s="80" t="n"/>
      <c r="J13" s="81">
        <f>IF($C13="","",IFERROR(IF(VLOOKUP($C13,PRECIOS!$A$2:$E$88,4,FALSE)&lt;&gt;"SI","",IF($H13="","",IF(OR(NOT(ISNUMBER($H13)),$H13&lt;=0,$H13&gt;50),"REVISAR LARGO",ROUND(ROUNDUP($H13/PRECIOS!$H$1,0)*PRECIOS!$H$1,2)))),""))</f>
        <v/>
      </c>
      <c r="L13" s="35">
        <f>IF($C13="","",IFERROR(IF(VLOOKUP($C13,PRECIOS!$A$2:$E$88,3,FALSE)="","SIN PRECIO",VLOOKUP($C13,PRECIOS!$A$2:$E$88,3,FALSE)),"NO EN LISTA"))</f>
        <v/>
      </c>
      <c r="M13" s="29">
        <f>IF(OR($C13="",NOT(ISNUMBER($L13))),"",IF(VLOOKUP($C13,PRECIOS!$A$2:$E$88,4,FALSE)="SI",IF(NOT(ISNUMBER($J13)),"",$A13*$J13*$L13),$A13*$L13))</f>
        <v/>
      </c>
      <c r="O13" s="38" t="n"/>
    </row>
    <row r="14">
      <c r="A14" s="30" t="n"/>
      <c r="C14" s="31" t="n"/>
      <c r="G14" s="32" t="n"/>
      <c r="H14" s="80" t="n"/>
      <c r="J14" s="81">
        <f>IF($C14="","",IFERROR(IF(VLOOKUP($C14,PRECIOS!$A$2:$E$88,4,FALSE)&lt;&gt;"SI","",IF($H14="","",IF(OR(NOT(ISNUMBER($H14)),$H14&lt;=0,$H14&gt;50),"REVISAR LARGO",ROUND(ROUNDUP($H14/PRECIOS!$H$1,0)*PRECIOS!$H$1,2)))),""))</f>
        <v/>
      </c>
      <c r="L14" s="35">
        <f>IF($C14="","",IFERROR(IF(VLOOKUP($C14,PRECIOS!$A$2:$E$88,3,FALSE)="","SIN PRECIO",VLOOKUP($C14,PRECIOS!$A$2:$E$88,3,FALSE)),"NO EN LISTA"))</f>
        <v/>
      </c>
      <c r="M14" s="29">
        <f>IF(OR($C14="",NOT(ISNUMBER($L14))),"",IF(VLOOKUP($C14,PRECIOS!$A$2:$E$88,4,FALSE)="SI",IF(NOT(ISNUMBER($J14)),"",$A14*$J14*$L14),$A14*$L14))</f>
        <v/>
      </c>
      <c r="O14" s="38" t="n"/>
    </row>
    <row r="15">
      <c r="A15" s="30" t="n"/>
      <c r="C15" s="31" t="n"/>
      <c r="G15" s="32" t="n"/>
      <c r="H15" s="80" t="n"/>
      <c r="J15" s="81">
        <f>IF($C15="","",IFERROR(IF(VLOOKUP($C15,PRECIOS!$A$2:$E$88,4,FALSE)&lt;&gt;"SI","",IF($H15="","",IF(OR(NOT(ISNUMBER($H15)),$H15&lt;=0,$H15&gt;50),"REVISAR LARGO",ROUND(ROUNDUP($H15/PRECIOS!$H$1,0)*PRECIOS!$H$1,2)))),""))</f>
        <v/>
      </c>
      <c r="L15" s="35">
        <f>IF($C15="","",IFERROR(IF(VLOOKUP($C15,PRECIOS!$A$2:$E$88,3,FALSE)="","SIN PRECIO",VLOOKUP($C15,PRECIOS!$A$2:$E$88,3,FALSE)),"NO EN LISTA"))</f>
        <v/>
      </c>
      <c r="M15" s="29">
        <f>IF(OR($C15="",NOT(ISNUMBER($L15))),"",IF(VLOOKUP($C15,PRECIOS!$A$2:$E$88,4,FALSE)="SI",IF(NOT(ISNUMBER($J15)),"",$A15*$J15*$L15),$A15*$L15))</f>
        <v/>
      </c>
    </row>
    <row r="16">
      <c r="A16" s="30" t="n"/>
      <c r="C16" s="31" t="n"/>
      <c r="G16" s="32" t="n"/>
      <c r="H16" s="80" t="n"/>
      <c r="J16" s="81">
        <f>IF($C16="","",IFERROR(IF(VLOOKUP($C16,PRECIOS!$A$2:$E$88,4,FALSE)&lt;&gt;"SI","",IF($H16="","",IF(OR(NOT(ISNUMBER($H16)),$H16&lt;=0,$H16&gt;50),"REVISAR LARGO",ROUND(ROUNDUP($H16/PRECIOS!$H$1,0)*PRECIOS!$H$1,2)))),""))</f>
        <v/>
      </c>
      <c r="L16" s="35">
        <f>IF($C16="","",IFERROR(IF(VLOOKUP($C16,PRECIOS!$A$2:$E$88,3,FALSE)="","SIN PRECIO",VLOOKUP($C16,PRECIOS!$A$2:$E$88,3,FALSE)),"NO EN LISTA"))</f>
        <v/>
      </c>
      <c r="M16" s="29">
        <f>IF(OR($C16="",NOT(ISNUMBER($L16))),"",IF(VLOOKUP($C16,PRECIOS!$A$2:$E$88,4,FALSE)="SI",IF(NOT(ISNUMBER($J16)),"",$A16*$J16*$L16),$A16*$L16))</f>
        <v/>
      </c>
    </row>
    <row r="17">
      <c r="A17" s="30" t="n"/>
      <c r="C17" s="31" t="n"/>
      <c r="G17" s="32" t="n"/>
      <c r="H17" s="80" t="n"/>
      <c r="J17" s="81">
        <f>IF($C17="","",IFERROR(IF(VLOOKUP($C17,PRECIOS!$A$2:$E$88,4,FALSE)&lt;&gt;"SI","",IF($H17="","",IF(OR(NOT(ISNUMBER($H17)),$H17&lt;=0,$H17&gt;50),"REVISAR LARGO",ROUND(ROUNDUP($H17/PRECIOS!$H$1,0)*PRECIOS!$H$1,2)))),""))</f>
        <v/>
      </c>
      <c r="L17" s="35">
        <f>IF($C17="","",IFERROR(IF(VLOOKUP($C17,PRECIOS!$A$2:$E$88,3,FALSE)="","SIN PRECIO",VLOOKUP($C17,PRECIOS!$A$2:$E$88,3,FALSE)),"NO EN LISTA"))</f>
        <v/>
      </c>
      <c r="M17" s="29">
        <f>IF(OR($C17="",NOT(ISNUMBER($L17))),"",IF(VLOOKUP($C17,PRECIOS!$A$2:$E$88,4,FALSE)="SI",IF(NOT(ISNUMBER($J17)),"",$A17*$J17*$L17),$A17*$L17))</f>
        <v/>
      </c>
      <c r="P17" s="39" t="n"/>
    </row>
    <row r="18">
      <c r="A18" s="30" t="n"/>
      <c r="C18" s="31" t="n"/>
      <c r="G18" s="32" t="n"/>
      <c r="H18" s="80" t="n"/>
      <c r="J18" s="81">
        <f>IF($C18="","",IFERROR(IF(VLOOKUP($C18,PRECIOS!$A$2:$E$88,4,FALSE)&lt;&gt;"SI","",IF($H18="","",IF(OR(NOT(ISNUMBER($H18)),$H18&lt;=0,$H18&gt;50),"REVISAR LARGO",ROUND(ROUNDUP($H18/PRECIOS!$H$1,0)*PRECIOS!$H$1,2)))),""))</f>
        <v/>
      </c>
      <c r="L18" s="35">
        <f>IF($C18="","",IFERROR(IF(VLOOKUP($C18,PRECIOS!$A$2:$E$88,3,FALSE)="","SIN PRECIO",VLOOKUP($C18,PRECIOS!$A$2:$E$88,3,FALSE)),"NO EN LISTA"))</f>
        <v/>
      </c>
      <c r="M18" s="29">
        <f>IF(OR($C18="",NOT(ISNUMBER($L18))),"",IF(VLOOKUP($C18,PRECIOS!$A$2:$E$88,4,FALSE)="SI",IF(NOT(ISNUMBER($J18)),"",$A18*$J18*$L18),$A18*$L18))</f>
        <v/>
      </c>
      <c r="P18" s="39" t="n"/>
    </row>
    <row r="19">
      <c r="A19" s="30" t="n"/>
      <c r="C19" s="31" t="n"/>
      <c r="G19" s="32" t="n"/>
      <c r="H19" s="80" t="n"/>
      <c r="J19" s="81">
        <f>IF($C19="","",IFERROR(IF(VLOOKUP($C19,PRECIOS!$A$2:$E$88,4,FALSE)&lt;&gt;"SI","",IF($H19="","",IF(OR(NOT(ISNUMBER($H19)),$H19&lt;=0,$H19&gt;50),"REVISAR LARGO",ROUND(ROUNDUP($H19/PRECIOS!$H$1,0)*PRECIOS!$H$1,2)))),""))</f>
        <v/>
      </c>
      <c r="L19" s="35">
        <f>IF($C19="","",IFERROR(IF(VLOOKUP($C19,PRECIOS!$A$2:$E$88,3,FALSE)="","SIN PRECIO",VLOOKUP($C19,PRECIOS!$A$2:$E$88,3,FALSE)),"NO EN LISTA"))</f>
        <v/>
      </c>
      <c r="M19" s="29">
        <f>IF(OR($C19="",NOT(ISNUMBER($L19))),"",IF(VLOOKUP($C19,PRECIOS!$A$2:$E$88,4,FALSE)="SI",IF(NOT(ISNUMBER($J19)),"",$A19*$J19*$L19),$A19*$L19))</f>
        <v/>
      </c>
      <c r="P19" s="39" t="n"/>
    </row>
    <row r="20">
      <c r="A20" s="30" t="n"/>
      <c r="C20" s="31" t="n"/>
      <c r="G20" s="32" t="n"/>
      <c r="H20" s="80" t="n"/>
      <c r="J20" s="81">
        <f>IF($C20="","",IFERROR(IF(VLOOKUP($C20,PRECIOS!$A$2:$E$88,4,FALSE)&lt;&gt;"SI","",IF($H20="","",IF(OR(NOT(ISNUMBER($H20)),$H20&lt;=0,$H20&gt;50),"REVISAR LARGO",ROUND(ROUNDUP($H20/PRECIOS!$H$1,0)*PRECIOS!$H$1,2)))),""))</f>
        <v/>
      </c>
      <c r="L20" s="35">
        <f>IF($C20="","",IFERROR(IF(VLOOKUP($C20,PRECIOS!$A$2:$E$88,3,FALSE)="","SIN PRECIO",VLOOKUP($C20,PRECIOS!$A$2:$E$88,3,FALSE)),"NO EN LISTA"))</f>
        <v/>
      </c>
      <c r="M20" s="29">
        <f>IF(OR($C20="",NOT(ISNUMBER($L20))),"",IF(VLOOKUP($C20,PRECIOS!$A$2:$E$88,4,FALSE)="SI",IF(NOT(ISNUMBER($J20)),"",$A20*$J20*$L20),$A20*$L20))</f>
        <v/>
      </c>
    </row>
    <row r="21">
      <c r="A21" s="30" t="n"/>
      <c r="C21" s="31" t="n"/>
      <c r="G21" s="32" t="n"/>
      <c r="H21" s="80" t="n"/>
      <c r="J21" s="81">
        <f>IF($C21="","",IFERROR(IF(VLOOKUP($C21,PRECIOS!$A$2:$E$88,4,FALSE)&lt;&gt;"SI","",IF($H21="","",IF(OR(NOT(ISNUMBER($H21)),$H21&lt;=0,$H21&gt;50),"REVISAR LARGO",ROUND(ROUNDUP($H21/PRECIOS!$H$1,0)*PRECIOS!$H$1,2)))),""))</f>
        <v/>
      </c>
      <c r="L21" s="35">
        <f>IF($C21="","",IFERROR(IF(VLOOKUP($C21,PRECIOS!$A$2:$E$88,3,FALSE)="","SIN PRECIO",VLOOKUP($C21,PRECIOS!$A$2:$E$88,3,FALSE)),"NO EN LISTA"))</f>
        <v/>
      </c>
      <c r="M21" s="40">
        <f>IF(OR($C21="",NOT(ISNUMBER($L21))),"",IF(VLOOKUP($C21,PRECIOS!$A$2:$E$88,4,FALSE)="SI",IF(NOT(ISNUMBER($J21)),"",$A21*$J21*$L21),$A21*$L21))</f>
        <v/>
      </c>
    </row>
    <row r="22">
      <c r="A22" s="30" t="n"/>
      <c r="C22" s="31" t="n"/>
      <c r="G22" s="32" t="n"/>
      <c r="H22" s="84" t="n"/>
      <c r="J22" s="85">
        <f>IF($C22="","",IFERROR(IF(VLOOKUP($C22,PRECIOS!$A$2:$E$88,4,FALSE)&lt;&gt;"SI","",IF($H22="","",IF(OR(NOT(ISNUMBER($H22)),$H22&lt;=0,$H22&gt;50),"REVISAR LARGO",ROUND(ROUNDUP($H22/PRECIOS!$H$1,0)*PRECIOS!$H$1,2)))),""))</f>
        <v/>
      </c>
      <c r="L22" s="35">
        <f>IF($C22="","",IFERROR(IF(VLOOKUP($C22,PRECIOS!$A$2:$E$88,3,FALSE)="","SIN PRECIO",VLOOKUP($C22,PRECIOS!$A$2:$E$88,3,FALSE)),"NO EN LISTA"))</f>
        <v/>
      </c>
      <c r="M22" s="40">
        <f>IF(OR($C22="",NOT(ISNUMBER($L22))),"",IF(VLOOKUP($C22,PRECIOS!$A$2:$E$88,4,FALSE)="SI",IF(NOT(ISNUMBER($J22)),"",$A22*$J22*$L22),$A22*$L22))</f>
        <v/>
      </c>
    </row>
    <row r="23">
      <c r="A23" s="43" t="n"/>
      <c r="C23" s="44" t="n"/>
      <c r="G23" s="45" t="n"/>
      <c r="H23" s="86" t="n"/>
      <c r="J23" s="87">
        <f>IF($C23="","",IFERROR(IF(VLOOKUP($C23,PRECIOS!$A$2:$E$88,4,FALSE)&lt;&gt;"SI","",IF($H23="","",IF(OR(NOT(ISNUMBER($H23)),$H23&lt;=0,$H23&gt;50),"REVISAR LARGO",ROUND(ROUNDUP($H23/PRECIOS!$H$1,0)*PRECIOS!$H$1,2)))),""))</f>
        <v/>
      </c>
      <c r="L23" s="35">
        <f>IF($C23="","",IFERROR(IF(VLOOKUP($C23,PRECIOS!$A$2:$E$88,3,FALSE)="","SIN PRECIO",VLOOKUP($C23,PRECIOS!$A$2:$E$88,3,FALSE)),"NO EN LISTA"))</f>
        <v/>
      </c>
      <c r="M23" s="40">
        <f>IF(OR($C23="",NOT(ISNUMBER($L23))),"",IF(VLOOKUP($C23,PRECIOS!$A$2:$E$88,4,FALSE)="SI",IF(NOT(ISNUMBER($J23)),"",$A23*$J23*$L23),$A23*$L23))</f>
        <v/>
      </c>
    </row>
    <row r="24">
      <c r="A24" s="48" t="n"/>
      <c r="C24" s="44" t="n"/>
      <c r="G24" s="45" t="n"/>
      <c r="H24" s="86" t="n"/>
      <c r="J24" s="87">
        <f>IF($C24="","",IFERROR(IF(VLOOKUP($C24,PRECIOS!$A$2:$E$88,4,FALSE)&lt;&gt;"SI","",IF($H24="","",IF(OR(NOT(ISNUMBER($H24)),$H24&lt;=0,$H24&gt;50),"REVISAR LARGO",ROUND(ROUNDUP($H24/PRECIOS!$H$1,0)*PRECIOS!$H$1,2)))),""))</f>
        <v/>
      </c>
      <c r="L24" s="49">
        <f>IF($C24="","",IFERROR(IF(VLOOKUP($C24,PRECIOS!$A$2:$E$88,3,FALSE)="","SIN PRECIO",VLOOKUP($C24,PRECIOS!$A$2:$E$88,3,FALSE)),"NO EN LISTA"))</f>
        <v/>
      </c>
      <c r="M24" s="40">
        <f>IF(OR($C24="",NOT(ISNUMBER($L24))),"",IF(VLOOKUP($C24,PRECIOS!$A$2:$E$88,4,FALSE)="SI",IF(NOT(ISNUMBER($J24)),"",$A24*$J24*$L24),$A24*$L24))</f>
        <v/>
      </c>
    </row>
    <row r="25">
      <c r="A25" s="48" t="n"/>
      <c r="C25" s="44" t="n"/>
      <c r="G25" s="45" t="n"/>
      <c r="H25" s="86" t="n"/>
      <c r="J25" s="87">
        <f>IF($C25="","",IFERROR(IF(VLOOKUP($C25,PRECIOS!$A$2:$E$88,4,FALSE)&lt;&gt;"SI","",IF($H25="","",IF(OR(NOT(ISNUMBER($H25)),$H25&lt;=0,$H25&gt;50),"REVISAR LARGO",ROUND(ROUNDUP($H25/PRECIOS!$H$1,0)*PRECIOS!$H$1,2)))),""))</f>
        <v/>
      </c>
      <c r="L25" s="49">
        <f>IF($C25="","",IFERROR(IF(VLOOKUP($C25,PRECIOS!$A$2:$E$88,3,FALSE)="","SIN PRECIO",VLOOKUP($C25,PRECIOS!$A$2:$E$88,3,FALSE)),"NO EN LISTA"))</f>
        <v/>
      </c>
      <c r="M25" s="40">
        <f>IF(OR($C25="",NOT(ISNUMBER($L25))),"",IF(VLOOKUP($C25,PRECIOS!$A$2:$E$88,4,FALSE)="SI",IF(NOT(ISNUMBER($J25)),"",$A25*$J25*$L25),$A25*$L25))</f>
        <v/>
      </c>
    </row>
    <row r="26">
      <c r="A26" s="48" t="n"/>
      <c r="C26" s="44" t="n"/>
      <c r="G26" s="50" t="n"/>
      <c r="H26" s="86" t="n"/>
      <c r="J26" s="87">
        <f>IF($C26="","",IFERROR(IF(VLOOKUP($C26,PRECIOS!$A$2:$E$88,4,FALSE)&lt;&gt;"SI","",IF($H26="","",IF(OR(NOT(ISNUMBER($H26)),$H26&lt;=0,$H26&gt;50),"REVISAR LARGO",ROUND(ROUNDUP($H26/PRECIOS!$H$1,0)*PRECIOS!$H$1,2)))),""))</f>
        <v/>
      </c>
      <c r="L26" s="49">
        <f>IF($C26="","",IFERROR(IF(VLOOKUP($C26,PRECIOS!$A$2:$E$88,3,FALSE)="","SIN PRECIO",VLOOKUP($C26,PRECIOS!$A$2:$E$88,3,FALSE)),"NO EN LISTA"))</f>
        <v/>
      </c>
      <c r="M26" s="40">
        <f>IF(OR($C26="",NOT(ISNUMBER($L26))),"",IF(VLOOKUP($C26,PRECIOS!$A$2:$E$88,4,FALSE)="SI",IF(NOT(ISNUMBER($J26)),"",$A26*$J26*$L26),$A26*$L26))</f>
        <v/>
      </c>
    </row>
    <row r="27">
      <c r="A27" s="48" t="n"/>
      <c r="C27" s="51" t="n"/>
      <c r="H27" s="86" t="n"/>
      <c r="J27" s="87">
        <f>IF($C27="","",IFERROR(IF(VLOOKUP($C27,PRECIOS!$A$2:$E$88,4,FALSE)&lt;&gt;"SI","",IF($H27="","",IF(OR(NOT(ISNUMBER($H27)),$H27&lt;=0,$H27&gt;50),"REVISAR LARGO",ROUND(ROUNDUP($H27/PRECIOS!$H$1,0)*PRECIOS!$H$1,2)))),""))</f>
        <v/>
      </c>
      <c r="L27" s="49">
        <f>IF($C27="","",IFERROR(IF(VLOOKUP($C27,PRECIOS!$A$2:$E$88,3,FALSE)="","SIN PRECIO",VLOOKUP($C27,PRECIOS!$A$2:$E$88,3,FALSE)),"NO EN LISTA"))</f>
        <v/>
      </c>
      <c r="M27" s="40">
        <f>IF(OR($C27="",NOT(ISNUMBER($L27))),"",IF(VLOOKUP($C27,PRECIOS!$A$2:$E$88,4,FALSE)="SI",IF(NOT(ISNUMBER($J27)),"",$A27*$J27*$L27),$A27*$L27))</f>
        <v/>
      </c>
    </row>
    <row r="28">
      <c r="A28" s="48" t="n"/>
      <c r="C28" s="51" t="n"/>
      <c r="H28" s="86" t="n"/>
      <c r="J28" s="87">
        <f>IF($C28="","",IFERROR(IF(VLOOKUP($C28,PRECIOS!$A$2:$E$88,4,FALSE)&lt;&gt;"SI","",IF($H28="","",IF(OR(NOT(ISNUMBER($H28)),$H28&lt;=0,$H28&gt;50),"REVISAR LARGO",ROUND(ROUNDUP($H28/PRECIOS!$H$1,0)*PRECIOS!$H$1,2)))),""))</f>
        <v/>
      </c>
      <c r="L28" s="49">
        <f>IF($C28="","",IFERROR(IF(VLOOKUP($C28,PRECIOS!$A$2:$E$88,3,FALSE)="","SIN PRECIO",VLOOKUP($C28,PRECIOS!$A$2:$E$88,3,FALSE)),"NO EN LISTA"))</f>
        <v/>
      </c>
      <c r="M28" s="40">
        <f>IF(OR($C28="",NOT(ISNUMBER($L28))),"",IF(VLOOKUP($C28,PRECIOS!$A$2:$E$88,4,FALSE)="SI",IF(NOT(ISNUMBER($J28)),"",$A28*$J28*$L28),$A28*$L28))</f>
        <v/>
      </c>
      <c r="O28" s="14" t="inlineStr">
        <is>
          <t>|</t>
        </is>
      </c>
    </row>
    <row r="29">
      <c r="A29" s="48" t="n"/>
      <c r="C29" s="51" t="n"/>
      <c r="H29" s="86" t="n"/>
      <c r="J29" s="87">
        <f>IF($C29="","",IFERROR(IF(VLOOKUP($C29,PRECIOS!$A$2:$E$88,4,FALSE)&lt;&gt;"SI","",IF($H29="","",IF(OR(NOT(ISNUMBER($H29)),$H29&lt;=0,$H29&gt;50),"REVISAR LARGO",ROUND(ROUNDUP($H29/PRECIOS!$H$1,0)*PRECIOS!$H$1,2)))),""))</f>
        <v/>
      </c>
      <c r="L29" s="49">
        <f>IF($C29="","",IFERROR(IF(VLOOKUP($C29,PRECIOS!$A$2:$E$88,3,FALSE)="","SIN PRECIO",VLOOKUP($C29,PRECIOS!$A$2:$E$88,3,FALSE)),"NO EN LISTA"))</f>
        <v/>
      </c>
      <c r="M29" s="40">
        <f>IF(OR($C29="",NOT(ISNUMBER($L29))),"",IF(VLOOKUP($C29,PRECIOS!$A$2:$E$88,4,FALSE)="SI",IF(NOT(ISNUMBER($J29)),"",$A29*$J29*$L29),$A29*$L29))</f>
        <v/>
      </c>
      <c r="R29" s="14" t="n"/>
    </row>
    <row r="30">
      <c r="A30" s="48" t="n"/>
      <c r="C30" s="51" t="n"/>
      <c r="H30" s="86" t="n"/>
      <c r="J30" s="87">
        <f>IF($C30="","",IFERROR(IF(VLOOKUP($C30,PRECIOS!$A$2:$E$88,4,FALSE)&lt;&gt;"SI","",IF($H30="","",IF(OR(NOT(ISNUMBER($H30)),$H30&lt;=0,$H30&gt;50),"REVISAR LARGO",ROUND(ROUNDUP($H30/PRECIOS!$H$1,0)*PRECIOS!$H$1,2)))),""))</f>
        <v/>
      </c>
      <c r="L30" s="49">
        <f>IF($C30="","",IFERROR(IF(VLOOKUP($C30,PRECIOS!$A$2:$E$88,3,FALSE)="","SIN PRECIO",VLOOKUP($C30,PRECIOS!$A$2:$E$88,3,FALSE)),"NO EN LISTA"))</f>
        <v/>
      </c>
      <c r="M30" s="40">
        <f>IF(OR($C30="",NOT(ISNUMBER($L30))),"",IF(VLOOKUP($C30,PRECIOS!$A$2:$E$88,4,FALSE)="SI",IF(NOT(ISNUMBER($J30)),"",$A30*$J30*$L30),$A30*$L30))</f>
        <v/>
      </c>
    </row>
    <row r="31">
      <c r="A31" s="48" t="n"/>
      <c r="C31" s="51" t="n"/>
      <c r="H31" s="86" t="n"/>
      <c r="J31" s="87">
        <f>IF($C31="","",IFERROR(IF(VLOOKUP($C31,PRECIOS!$A$2:$E$88,4,FALSE)&lt;&gt;"SI","",IF($H31="","",IF(OR(NOT(ISNUMBER($H31)),$H31&lt;=0,$H31&gt;50),"REVISAR LARGO",ROUND(ROUNDUP($H31/PRECIOS!$H$1,0)*PRECIOS!$H$1,2)))),""))</f>
        <v/>
      </c>
      <c r="L31" s="49">
        <f>IF($C31="","",IFERROR(IF(VLOOKUP($C31,PRECIOS!$A$2:$E$88,3,FALSE)="","SIN PRECIO",VLOOKUP($C31,PRECIOS!$A$2:$E$88,3,FALSE)),"NO EN LISTA"))</f>
        <v/>
      </c>
      <c r="M31" s="40">
        <f>IF(OR($C31="",NOT(ISNUMBER($L31))),"",IF(VLOOKUP($C31,PRECIOS!$A$2:$E$88,4,FALSE)="SI",IF(NOT(ISNUMBER($J31)),"",$A31*$J31*$L31),$A31*$L31))</f>
        <v/>
      </c>
    </row>
    <row r="32">
      <c r="A32" s="48" t="n"/>
      <c r="C32" s="51" t="n"/>
      <c r="H32" s="86" t="n"/>
      <c r="J32" s="87">
        <f>IF($C32="","",IFERROR(IF(VLOOKUP($C32,PRECIOS!$A$2:$E$88,4,FALSE)&lt;&gt;"SI","",IF($H32="","",IF(OR(NOT(ISNUMBER($H32)),$H32&lt;=0,$H32&gt;50),"REVISAR LARGO",ROUND(ROUNDUP($H32/PRECIOS!$H$1,0)*PRECIOS!$H$1,2)))),""))</f>
        <v/>
      </c>
      <c r="L32" s="49">
        <f>IF($C32="","",IFERROR(IF(VLOOKUP($C32,PRECIOS!$A$2:$E$88,3,FALSE)="","SIN PRECIO",VLOOKUP($C32,PRECIOS!$A$2:$E$88,3,FALSE)),"NO EN LISTA"))</f>
        <v/>
      </c>
      <c r="M32" s="40">
        <f>IF(OR($C32="",NOT(ISNUMBER($L32))),"",IF(VLOOKUP($C32,PRECIOS!$A$2:$E$88,4,FALSE)="SI",IF(NOT(ISNUMBER($J32)),"",$A32*$J32*$L32),$A32*$L32))</f>
        <v/>
      </c>
    </row>
    <row r="33">
      <c r="A33" s="48" t="n"/>
      <c r="C33" s="51" t="n"/>
      <c r="H33" s="86" t="n"/>
      <c r="J33" s="87">
        <f>IF($C33="","",IFERROR(IF(VLOOKUP($C33,PRECIOS!$A$2:$E$88,4,FALSE)&lt;&gt;"SI","",IF($H33="","",IF(OR(NOT(ISNUMBER($H33)),$H33&lt;=0,$H33&gt;50),"REVISAR LARGO",ROUND(ROUNDUP($H33/PRECIOS!$H$1,0)*PRECIOS!$H$1,2)))),""))</f>
        <v/>
      </c>
      <c r="L33" s="88">
        <f>IF($C33="","",IFERROR(IF(VLOOKUP($C33,PRECIOS!$A$2:$E$88,3,FALSE)="","SIN PRECIO",VLOOKUP($C33,PRECIOS!$A$2:$E$88,3,FALSE)),"NO EN LISTA"))</f>
        <v/>
      </c>
      <c r="M33" s="40">
        <f>IF(OR($C33="",NOT(ISNUMBER($L33))),"",IF(VLOOKUP($C33,PRECIOS!$A$2:$E$88,4,FALSE)="SI",IF(NOT(ISNUMBER($J33)),"",$A33*$J33*$L33),$A33*$L33))</f>
        <v/>
      </c>
    </row>
    <row r="34">
      <c r="A34" s="48" t="n"/>
      <c r="C34" s="51" t="n"/>
      <c r="H34" s="86" t="n"/>
      <c r="J34" s="87">
        <f>IF($C34="","",IFERROR(IF(VLOOKUP($C34,PRECIOS!$A$2:$E$88,4,FALSE)&lt;&gt;"SI","",IF($H34="","",IF(OR(NOT(ISNUMBER($H34)),$H34&lt;=0,$H34&gt;50),"REVISAR LARGO",ROUND(ROUNDUP($H34/PRECIOS!$H$1,0)*PRECIOS!$H$1,2)))),""))</f>
        <v/>
      </c>
      <c r="L34" s="88">
        <f>IF($C34="","",IFERROR(IF(VLOOKUP($C34,PRECIOS!$A$2:$E$88,3,FALSE)="","SIN PRECIO",VLOOKUP($C34,PRECIOS!$A$2:$E$88,3,FALSE)),"NO EN LISTA"))</f>
        <v/>
      </c>
      <c r="M34" s="53">
        <f>IF(OR($C34="",NOT(ISNUMBER($L34))),"",IF(VLOOKUP($C34,PRECIOS!$A$2:$E$88,4,FALSE)="SI",IF(NOT(ISNUMBER($J34)),"",$A34*$J34*$L34),$A34*$L34))</f>
        <v/>
      </c>
    </row>
    <row r="35">
      <c r="A35" s="48" t="n"/>
      <c r="C35" s="51" t="n"/>
      <c r="H35" s="86" t="n"/>
      <c r="J35" s="87">
        <f>IF($C35="","",IFERROR(IF(VLOOKUP($C35,PRECIOS!$A$2:$E$88,4,FALSE)&lt;&gt;"SI","",IF($H35="","",IF(OR(NOT(ISNUMBER($H35)),$H35&lt;=0,$H35&gt;50),"REVISAR LARGO",ROUND(ROUNDUP($H35/PRECIOS!$H$1,0)*PRECIOS!$H$1,2)))),""))</f>
        <v/>
      </c>
      <c r="L35" s="88">
        <f>IF($C35="","",IFERROR(IF(VLOOKUP($C35,PRECIOS!$A$2:$E$88,3,FALSE)="","SIN PRECIO",VLOOKUP($C35,PRECIOS!$A$2:$E$88,3,FALSE)),"NO EN LISTA"))</f>
        <v/>
      </c>
      <c r="M35" s="53">
        <f>IF(OR($C35="",NOT(ISNUMBER($L35))),"",IF(VLOOKUP($C35,PRECIOS!$A$2:$E$88,4,FALSE)="SI",IF(NOT(ISNUMBER($J35)),"",$A35*$J35*$L35),$A35*$L35))</f>
        <v/>
      </c>
    </row>
    <row r="36">
      <c r="A36" s="48" t="n"/>
      <c r="C36" s="51" t="n"/>
      <c r="H36" s="86" t="n"/>
      <c r="J36" s="87">
        <f>IF($C36="","",IFERROR(IF(VLOOKUP($C36,PRECIOS!$A$2:$E$88,4,FALSE)&lt;&gt;"SI","",IF($H36="","",IF(OR(NOT(ISNUMBER($H36)),$H36&lt;=0,$H36&gt;50),"REVISAR LARGO",ROUND(ROUNDUP($H36/PRECIOS!$H$1,0)*PRECIOS!$H$1,2)))),""))</f>
        <v/>
      </c>
      <c r="L36" s="88">
        <f>IF($C36="","",IFERROR(IF(VLOOKUP($C36,PRECIOS!$A$2:$E$88,3,FALSE)="","SIN PRECIO",VLOOKUP($C36,PRECIOS!$A$2:$E$88,3,FALSE)),"NO EN LISTA"))</f>
        <v/>
      </c>
      <c r="M36" s="53">
        <f>IF(OR($C36="",NOT(ISNUMBER($L36))),"",IF(VLOOKUP($C36,PRECIOS!$A$2:$E$88,4,FALSE)="SI",IF(NOT(ISNUMBER($J36)),"",$A36*$J36*$L36),$A36*$L36))</f>
        <v/>
      </c>
    </row>
    <row r="37">
      <c r="A37" s="48" t="n"/>
      <c r="C37" s="51" t="n"/>
      <c r="H37" s="86" t="n"/>
      <c r="J37" s="87">
        <f>IF($C37="","",IFERROR(IF(VLOOKUP($C37,PRECIOS!$A$2:$E$88,4,FALSE)&lt;&gt;"SI","",IF($H37="","",IF(OR(NOT(ISNUMBER($H37)),$H37&lt;=0,$H37&gt;50),"REVISAR LARGO",ROUND(ROUNDUP($H37/PRECIOS!$H$1,0)*PRECIOS!$H$1,2)))),""))</f>
        <v/>
      </c>
      <c r="L37" s="88">
        <f>IF($C37="","",IFERROR(IF(VLOOKUP($C37,PRECIOS!$A$2:$E$88,3,FALSE)="","SIN PRECIO",VLOOKUP($C37,PRECIOS!$A$2:$E$88,3,FALSE)),"NO EN LISTA"))</f>
        <v/>
      </c>
      <c r="M37" s="53">
        <f>IF(OR($C37="",NOT(ISNUMBER($L37))),"",IF(VLOOKUP($C37,PRECIOS!$A$2:$E$88,4,FALSE)="SI",IF(NOT(ISNUMBER($J37)),"",$A37*$J37*$L37),$A37*$L37))</f>
        <v/>
      </c>
    </row>
    <row r="38">
      <c r="A38" s="48" t="n"/>
      <c r="C38" s="51" t="n"/>
      <c r="H38" s="86" t="n"/>
      <c r="J38" s="87">
        <f>IF($C38="","",IFERROR(IF(VLOOKUP($C38,PRECIOS!$A$2:$E$88,4,FALSE)&lt;&gt;"SI","",IF($H38="","",IF(OR(NOT(ISNUMBER($H38)),$H38&lt;=0,$H38&gt;50),"REVISAR LARGO",ROUND(ROUNDUP($H38/PRECIOS!$H$1,0)*PRECIOS!$H$1,2)))),""))</f>
        <v/>
      </c>
      <c r="L38" s="88">
        <f>IF($C38="","",IFERROR(IF(VLOOKUP($C38,PRECIOS!$A$2:$E$88,3,FALSE)="","SIN PRECIO",VLOOKUP($C38,PRECIOS!$A$2:$E$88,3,FALSE)),"NO EN LISTA"))</f>
        <v/>
      </c>
      <c r="M38" s="53">
        <f>IF(OR($C38="",NOT(ISNUMBER($L38))),"",IF(VLOOKUP($C38,PRECIOS!$A$2:$E$88,4,FALSE)="SI",IF(NOT(ISNUMBER($J38)),"",$A38*$J38*$L38),$A38*$L38))</f>
        <v/>
      </c>
    </row>
    <row r="39">
      <c r="A39" s="48" t="n"/>
      <c r="C39" s="51" t="n"/>
      <c r="H39" s="86" t="n"/>
      <c r="J39" s="87">
        <f>IF($C39="","",IFERROR(IF(VLOOKUP($C39,PRECIOS!$A$2:$E$88,4,FALSE)&lt;&gt;"SI","",IF($H39="","",IF(OR(NOT(ISNUMBER($H39)),$H39&lt;=0,$H39&gt;50),"REVISAR LARGO",ROUND(ROUNDUP($H39/PRECIOS!$H$1,0)*PRECIOS!$H$1,2)))),""))</f>
        <v/>
      </c>
      <c r="L39" s="54">
        <f>IF($C39="","",IFERROR(IF(VLOOKUP($C39,PRECIOS!$A$2:$E$88,3,FALSE)="","SIN PRECIO",VLOOKUP($C39,PRECIOS!$A$2:$E$88,3,FALSE)),"NO EN LISTA"))</f>
        <v/>
      </c>
      <c r="M39" s="53">
        <f>IF(OR($C39="",NOT(ISNUMBER($L39))),"",IF(VLOOKUP($C39,PRECIOS!$A$2:$E$88,4,FALSE)="SI",IF(NOT(ISNUMBER($J39)),"",$A39*$J39*$L39),$A39*$L39))</f>
        <v/>
      </c>
    </row>
    <row r="40">
      <c r="A40" s="48" t="n"/>
      <c r="C40" s="51" t="n"/>
      <c r="H40" s="86" t="n"/>
      <c r="J40" s="87">
        <f>IF($C40="","",IFERROR(IF(VLOOKUP($C40,PRECIOS!$A$2:$E$88,4,FALSE)&lt;&gt;"SI","",IF($H40="","",IF(OR(NOT(ISNUMBER($H40)),$H40&lt;=0,$H40&gt;50),"REVISAR LARGO",ROUND(ROUNDUP($H40/PRECIOS!$H$1,0)*PRECIOS!$H$1,2)))),""))</f>
        <v/>
      </c>
      <c r="L40" s="54">
        <f>IF($C40="","",IFERROR(IF(VLOOKUP($C40,PRECIOS!$A$2:$E$88,3,FALSE)="","SIN PRECIO",VLOOKUP($C40,PRECIOS!$A$2:$E$88,3,FALSE)),"NO EN LISTA"))</f>
        <v/>
      </c>
      <c r="M40" s="53">
        <f>IF(OR($C40="",NOT(ISNUMBER($L40))),"",IF(VLOOKUP($C40,PRECIOS!$A$2:$E$88,4,FALSE)="SI",IF(NOT(ISNUMBER($J40)),"",$A40*$J40*$L40),$A40*$L40))</f>
        <v/>
      </c>
    </row>
    <row r="41">
      <c r="A41" s="48" t="n"/>
      <c r="C41" s="51" t="n"/>
      <c r="H41" s="86" t="n"/>
      <c r="J41" s="87">
        <f>IF($C41="","",IFERROR(IF(VLOOKUP($C41,PRECIOS!$A$2:$E$88,4,FALSE)&lt;&gt;"SI","",IF($H41="","",IF(OR(NOT(ISNUMBER($H41)),$H41&lt;=0,$H41&gt;50),"REVISAR LARGO",ROUND(ROUNDUP($H41/PRECIOS!$H$1,0)*PRECIOS!$H$1,2)))),""))</f>
        <v/>
      </c>
      <c r="L41" s="54">
        <f>IF($C41="","",IFERROR(IF(VLOOKUP($C41,PRECIOS!$A$2:$E$88,3,FALSE)="","SIN PRECIO",VLOOKUP($C41,PRECIOS!$A$2:$E$88,3,FALSE)),"NO EN LISTA"))</f>
        <v/>
      </c>
      <c r="M41" s="53">
        <f>IF(OR($C41="",NOT(ISNUMBER($L41))),"",IF(VLOOKUP($C41,PRECIOS!$A$2:$E$88,4,FALSE)="SI",IF(NOT(ISNUMBER($J41)),"",$A41*$J41*$L41),$A41*$L41))</f>
        <v/>
      </c>
    </row>
    <row r="42">
      <c r="A42" s="48" t="n"/>
      <c r="C42" s="51" t="n"/>
      <c r="H42" s="86" t="n"/>
      <c r="J42" s="87">
        <f>IF($C42="","",IFERROR(IF(VLOOKUP($C42,PRECIOS!$A$2:$E$88,4,FALSE)&lt;&gt;"SI","",IF($H42="","",IF(OR(NOT(ISNUMBER($H42)),$H42&lt;=0,$H42&gt;50),"REVISAR LARGO",ROUND(ROUNDUP($H42/PRECIOS!$H$1,0)*PRECIOS!$H$1,2)))),""))</f>
        <v/>
      </c>
      <c r="L42" s="54">
        <f>IF($C42="","",IFERROR(IF(VLOOKUP($C42,PRECIOS!$A$2:$E$88,3,FALSE)="","SIN PRECIO",VLOOKUP($C42,PRECIOS!$A$2:$E$88,3,FALSE)),"NO EN LISTA"))</f>
        <v/>
      </c>
      <c r="M42" s="53">
        <f>IF(OR($C42="",NOT(ISNUMBER($L42))),"",IF(VLOOKUP($C42,PRECIOS!$A$2:$E$88,4,FALSE)="SI",IF(NOT(ISNUMBER($J42)),"",$A42*$J42*$L42),$A42*$L42))</f>
        <v/>
      </c>
    </row>
    <row r="43">
      <c r="A43" s="48" t="n"/>
      <c r="C43" s="51" t="n"/>
      <c r="H43" s="86" t="n"/>
      <c r="J43" s="87">
        <f>IF($C43="","",IFERROR(IF(VLOOKUP($C43,PRECIOS!$A$2:$E$88,4,FALSE)&lt;&gt;"SI","",IF($H43="","",IF(OR(NOT(ISNUMBER($H43)),$H43&lt;=0,$H43&gt;50),"REVISAR LARGO",ROUND(ROUNDUP($H43/PRECIOS!$H$1,0)*PRECIOS!$H$1,2)))),""))</f>
        <v/>
      </c>
      <c r="L43" s="54">
        <f>IF($C43="","",IFERROR(IF(VLOOKUP($C43,PRECIOS!$A$2:$E$88,3,FALSE)="","SIN PRECIO",VLOOKUP($C43,PRECIOS!$A$2:$E$88,3,FALSE)),"NO EN LISTA"))</f>
        <v/>
      </c>
      <c r="M43" s="53">
        <f>IF(OR($C43="",NOT(ISNUMBER($L43))),"",IF(VLOOKUP($C43,PRECIOS!$A$2:$E$88,4,FALSE)="SI",IF(NOT(ISNUMBER($J43)),"",$A43*$J43*$L43),$A43*$L43))</f>
        <v/>
      </c>
    </row>
    <row r="44">
      <c r="A44" s="48" t="n"/>
      <c r="C44" s="51" t="n"/>
      <c r="H44" s="86" t="n"/>
      <c r="J44" s="87">
        <f>IF($C44="","",IFERROR(IF(VLOOKUP($C44,PRECIOS!$A$2:$E$88,4,FALSE)&lt;&gt;"SI","",IF($H44="","",IF(OR(NOT(ISNUMBER($H44)),$H44&lt;=0,$H44&gt;50),"REVISAR LARGO",ROUND(ROUNDUP($H44/PRECIOS!$H$1,0)*PRECIOS!$H$1,2)))),""))</f>
        <v/>
      </c>
      <c r="L44" s="54">
        <f>IF($C44="","",IFERROR(IF(VLOOKUP($C44,PRECIOS!$A$2:$E$88,3,FALSE)="","SIN PRECIO",VLOOKUP($C44,PRECIOS!$A$2:$E$88,3,FALSE)),"NO EN LISTA"))</f>
        <v/>
      </c>
      <c r="M44" s="53">
        <f>IF(OR($C44="",NOT(ISNUMBER($L44))),"",IF(VLOOKUP($C44,PRECIOS!$A$2:$E$88,4,FALSE)="SI",IF(NOT(ISNUMBER($J44)),"",$A44*$J44*$L44),$A44*$L44))</f>
        <v/>
      </c>
    </row>
    <row r="45">
      <c r="A45" s="48" t="n"/>
      <c r="C45" s="51" t="n"/>
      <c r="H45" s="86" t="n"/>
      <c r="J45" s="87">
        <f>IF($C45="","",IFERROR(IF(VLOOKUP($C45,PRECIOS!$A$2:$E$88,4,FALSE)&lt;&gt;"SI","",IF($H45="","",IF(OR(NOT(ISNUMBER($H45)),$H45&lt;=0,$H45&gt;50),"REVISAR LARGO",ROUND(ROUNDUP($H45/PRECIOS!$H$1,0)*PRECIOS!$H$1,2)))),""))</f>
        <v/>
      </c>
      <c r="L45" s="54">
        <f>IF($C45="","",IFERROR(IF(VLOOKUP($C45,PRECIOS!$A$2:$E$88,3,FALSE)="","SIN PRECIO",VLOOKUP($C45,PRECIOS!$A$2:$E$88,3,FALSE)),"NO EN LISTA"))</f>
        <v/>
      </c>
      <c r="M45" s="53">
        <f>IF(OR($C45="",NOT(ISNUMBER($L45))),"",IF(VLOOKUP($C45,PRECIOS!$A$2:$E$88,4,FALSE)="SI",IF(NOT(ISNUMBER($J45)),"",$A45*$J45*$L45),$A45*$L45))</f>
        <v/>
      </c>
    </row>
    <row r="46">
      <c r="A46" s="48" t="n"/>
      <c r="C46" s="51" t="n"/>
      <c r="H46" s="86" t="n"/>
      <c r="J46" s="87">
        <f>IF($C46="","",IFERROR(IF(VLOOKUP($C46,PRECIOS!$A$2:$E$88,4,FALSE)&lt;&gt;"SI","",IF($H46="","",IF(OR(NOT(ISNUMBER($H46)),$H46&lt;=0,$H46&gt;50),"REVISAR LARGO",ROUND(ROUNDUP($H46/PRECIOS!$H$1,0)*PRECIOS!$H$1,2)))),""))</f>
        <v/>
      </c>
      <c r="L46" s="54">
        <f>IF($C46="","",IFERROR(IF(VLOOKUP($C46,PRECIOS!$A$2:$E$88,3,FALSE)="","SIN PRECIO",VLOOKUP($C46,PRECIOS!$A$2:$E$88,3,FALSE)),"NO EN LISTA"))</f>
        <v/>
      </c>
      <c r="M46" s="53">
        <f>IF(OR($C46="",NOT(ISNUMBER($L46))),"",IF(VLOOKUP($C46,PRECIOS!$A$2:$E$88,4,FALSE)="SI",IF(NOT(ISNUMBER($J46)),"",$A46*$J46*$L46),$A46*$L46))</f>
        <v/>
      </c>
    </row>
    <row r="47">
      <c r="A47" s="48" t="n"/>
      <c r="C47" s="51" t="n"/>
      <c r="H47" s="86" t="n"/>
      <c r="J47" s="87">
        <f>IF($C47="","",IFERROR(IF(VLOOKUP($C47,PRECIOS!$A$2:$E$88,4,FALSE)&lt;&gt;"SI","",IF($H47="","",IF(OR(NOT(ISNUMBER($H47)),$H47&lt;=0,$H47&gt;50),"REVISAR LARGO",ROUND(ROUNDUP($H47/PRECIOS!$H$1,0)*PRECIOS!$H$1,2)))),""))</f>
        <v/>
      </c>
      <c r="L47" s="54">
        <f>IF($C47="","",IFERROR(IF(VLOOKUP($C47,PRECIOS!$A$2:$E$88,3,FALSE)="","SIN PRECIO",VLOOKUP($C47,PRECIOS!$A$2:$E$88,3,FALSE)),"NO EN LISTA"))</f>
        <v/>
      </c>
      <c r="M47" s="53">
        <f>IF(OR($C47="",NOT(ISNUMBER($L47))),"",IF(VLOOKUP($C47,PRECIOS!$A$2:$E$88,4,FALSE)="SI",IF(NOT(ISNUMBER($J47)),"",$A47*$J47*$L47),$A47*$L47))</f>
        <v/>
      </c>
    </row>
    <row r="48">
      <c r="A48" s="48" t="n"/>
      <c r="C48" s="51" t="n"/>
      <c r="H48" s="86" t="n"/>
      <c r="J48" s="87">
        <f>IF($C48="","",IFERROR(IF(VLOOKUP($C48,PRECIOS!$A$2:$E$88,4,FALSE)&lt;&gt;"SI","",IF($H48="","",IF(OR(NOT(ISNUMBER($H48)),$H48&lt;=0,$H48&gt;50),"REVISAR LARGO",ROUND(ROUNDUP($H48/PRECIOS!$H$1,0)*PRECIOS!$H$1,2)))),""))</f>
        <v/>
      </c>
      <c r="L48" s="55">
        <f>IF($C48="","",IFERROR(IF(VLOOKUP($C48,PRECIOS!$A$2:$E$88,3,FALSE)="","SIN PRECIO",VLOOKUP($C48,PRECIOS!$A$2:$E$88,3,FALSE)),"NO EN LISTA"))</f>
        <v/>
      </c>
      <c r="M48" s="53">
        <f>IF(OR($C48="",NOT(ISNUMBER($L48))),"",IF(VLOOKUP($C48,PRECIOS!$A$2:$E$88,4,FALSE)="SI",IF(NOT(ISNUMBER($J48)),"",$A48*$J48*$L48),$A48*$L48))</f>
        <v/>
      </c>
    </row>
    <row r="49">
      <c r="A49" s="48" t="n"/>
      <c r="C49" s="51" t="n"/>
      <c r="H49" s="86" t="n"/>
      <c r="J49" s="87">
        <f>IF($C49="","",IFERROR(IF(VLOOKUP($C49,PRECIOS!$A$2:$E$88,4,FALSE)&lt;&gt;"SI","",IF($H49="","",IF(OR(NOT(ISNUMBER($H49)),$H49&lt;=0,$H49&gt;50),"REVISAR LARGO",ROUND(ROUNDUP($H49/PRECIOS!$H$1,0)*PRECIOS!$H$1,2)))),""))</f>
        <v/>
      </c>
      <c r="L49" s="55">
        <f>IF($C49="","",IFERROR(IF(VLOOKUP($C49,PRECIOS!$A$2:$E$88,3,FALSE)="","SIN PRECIO",VLOOKUP($C49,PRECIOS!$A$2:$E$88,3,FALSE)),"NO EN LISTA"))</f>
        <v/>
      </c>
      <c r="M49" s="53">
        <f>IF(OR($C49="",NOT(ISNUMBER($L49))),"",IF(VLOOKUP($C49,PRECIOS!$A$2:$E$88,4,FALSE)="SI",IF(NOT(ISNUMBER($J49)),"",$A49*$J49*$L49),$A49*$L49))</f>
        <v/>
      </c>
    </row>
    <row r="50">
      <c r="A50" s="48" t="n"/>
      <c r="C50" s="51" t="n"/>
      <c r="H50" s="86" t="n"/>
      <c r="J50" s="87">
        <f>IF($C50="","",IFERROR(IF(VLOOKUP($C50,PRECIOS!$A$2:$E$88,4,FALSE)&lt;&gt;"SI","",IF($H50="","",IF(OR(NOT(ISNUMBER($H50)),$H50&lt;=0,$H50&gt;50),"REVISAR LARGO",ROUND(ROUNDUP($H50/PRECIOS!$H$1,0)*PRECIOS!$H$1,2)))),""))</f>
        <v/>
      </c>
      <c r="L50" s="55">
        <f>IF($C50="","",IFERROR(IF(VLOOKUP($C50,PRECIOS!$A$2:$E$88,3,FALSE)="","SIN PRECIO",VLOOKUP($C50,PRECIOS!$A$2:$E$88,3,FALSE)),"NO EN LISTA"))</f>
        <v/>
      </c>
      <c r="M50" s="53">
        <f>IF(OR($C50="",NOT(ISNUMBER($L50))),"",IF(VLOOKUP($C50,PRECIOS!$A$2:$E$88,4,FALSE)="SI",IF(NOT(ISNUMBER($J50)),"",$A50*$J50*$L50),$A50*$L50))</f>
        <v/>
      </c>
    </row>
    <row r="51">
      <c r="A51" s="48" t="n"/>
      <c r="C51" s="51" t="n"/>
      <c r="H51" s="86" t="n"/>
      <c r="J51" s="87">
        <f>IF($C51="","",IFERROR(IF(VLOOKUP($C51,PRECIOS!$A$2:$E$88,4,FALSE)&lt;&gt;"SI","",IF($H51="","",IF(OR(NOT(ISNUMBER($H51)),$H51&lt;=0,$H51&gt;50),"REVISAR LARGO",ROUND(ROUNDUP($H51/PRECIOS!$H$1,0)*PRECIOS!$H$1,2)))),""))</f>
        <v/>
      </c>
      <c r="L51" s="55">
        <f>IF($C51="","",IFERROR(IF(VLOOKUP($C51,PRECIOS!$A$2:$E$88,3,FALSE)="","SIN PRECIO",VLOOKUP($C51,PRECIOS!$A$2:$E$88,3,FALSE)),"NO EN LISTA"))</f>
        <v/>
      </c>
      <c r="M51" s="53">
        <f>IF(OR($C51="",NOT(ISNUMBER($L51))),"",IF(VLOOKUP($C51,PRECIOS!$A$2:$E$88,4,FALSE)="SI",IF(NOT(ISNUMBER($J51)),"",$A51*$J51*$L51),$A51*$L51))</f>
        <v/>
      </c>
    </row>
    <row r="52">
      <c r="A52" s="48" t="n"/>
      <c r="C52" s="51" t="n"/>
      <c r="H52" s="86" t="n"/>
      <c r="J52" s="87">
        <f>IF($C52="","",IFERROR(IF(VLOOKUP($C52,PRECIOS!$A$2:$E$88,4,FALSE)&lt;&gt;"SI","",IF($H52="","",IF(OR(NOT(ISNUMBER($H52)),$H52&lt;=0,$H52&gt;50),"REVISAR LARGO",ROUND(ROUNDUP($H52/PRECIOS!$H$1,0)*PRECIOS!$H$1,2)))),""))</f>
        <v/>
      </c>
      <c r="L52" s="55">
        <f>IF($C52="","",IFERROR(IF(VLOOKUP($C52,PRECIOS!$A$2:$E$88,3,FALSE)="","SIN PRECIO",VLOOKUP($C52,PRECIOS!$A$2:$E$88,3,FALSE)),"NO EN LISTA"))</f>
        <v/>
      </c>
      <c r="M52" s="53">
        <f>IF(OR($C52="",NOT(ISNUMBER($L52))),"",IF(VLOOKUP($C52,PRECIOS!$A$2:$E$88,4,FALSE)="SI",IF(NOT(ISNUMBER($J52)),"",$A52*$J52*$L52),$A52*$L52))</f>
        <v/>
      </c>
    </row>
    <row r="53">
      <c r="A53" s="48" t="n"/>
      <c r="C53" s="51" t="n"/>
      <c r="H53" s="86" t="n"/>
      <c r="J53" s="87">
        <f>IF($C53="","",IFERROR(IF(VLOOKUP($C53,PRECIOS!$A$2:$E$88,4,FALSE)&lt;&gt;"SI","",IF($H53="","",IF(OR(NOT(ISNUMBER($H53)),$H53&lt;=0,$H53&gt;50),"REVISAR LARGO",ROUND(ROUNDUP($H53/PRECIOS!$H$1,0)*PRECIOS!$H$1,2)))),""))</f>
        <v/>
      </c>
      <c r="L53" s="55">
        <f>IF($C53="","",IFERROR(IF(VLOOKUP($C53,PRECIOS!$A$2:$E$88,3,FALSE)="","SIN PRECIO",VLOOKUP($C53,PRECIOS!$A$2:$E$88,3,FALSE)),"NO EN LISTA"))</f>
        <v/>
      </c>
      <c r="M53" s="53">
        <f>IF(OR($C53="",NOT(ISNUMBER($L53))),"",IF(VLOOKUP($C53,PRECIOS!$A$2:$E$88,4,FALSE)="SI",IF(NOT(ISNUMBER($J53)),"",$A53*$J53*$L53),$A53*$L53))</f>
        <v/>
      </c>
    </row>
    <row r="54">
      <c r="A54" s="48" t="n"/>
      <c r="C54" s="51" t="n"/>
      <c r="G54" s="56" t="n"/>
      <c r="H54" s="89" t="n"/>
      <c r="J54" s="89">
        <f>IF($C54="","",IFERROR(IF(VLOOKUP($C54,PRECIOS!$A$2:$E$88,4,FALSE)&lt;&gt;"SI","",IF($H54="","",IF(OR(NOT(ISNUMBER($H54)),$H54&lt;=0,$H54&gt;50),"REVISAR LARGO",ROUND(ROUNDUP($H54/PRECIOS!$H$1,0)*PRECIOS!$H$1,2)))),""))</f>
        <v/>
      </c>
      <c r="L54" s="55">
        <f>IF($C54="","",IFERROR(IF(VLOOKUP($C54,PRECIOS!$A$2:$E$88,3,FALSE)="","SIN PRECIO",VLOOKUP($C54,PRECIOS!$A$2:$E$88,3,FALSE)),"NO EN LISTA"))</f>
        <v/>
      </c>
      <c r="M54" s="53">
        <f>IF(OR($C54="",NOT(ISNUMBER($L54))),"",IF(VLOOKUP($C54,PRECIOS!$A$2:$E$88,4,FALSE)="SI",IF(NOT(ISNUMBER($J54)),"",$A54*$J54*$L54),$A54*$L54))</f>
        <v/>
      </c>
    </row>
    <row r="55">
      <c r="A55" s="48" t="n"/>
      <c r="C55" s="51" t="n"/>
      <c r="G55" s="56" t="n"/>
      <c r="H55" s="89" t="n"/>
      <c r="J55" s="89">
        <f>IF($C55="","",IFERROR(IF(VLOOKUP($C55,PRECIOS!$A$2:$E$88,4,FALSE)&lt;&gt;"SI","",IF($H55="","",IF(OR(NOT(ISNUMBER($H55)),$H55&lt;=0,$H55&gt;50),"REVISAR LARGO",ROUND(ROUNDUP($H55/PRECIOS!$H$1,0)*PRECIOS!$H$1,2)))),""))</f>
        <v/>
      </c>
      <c r="L55" s="55">
        <f>IF($C55="","",IFERROR(IF(VLOOKUP($C55,PRECIOS!$A$2:$E$88,3,FALSE)="","SIN PRECIO",VLOOKUP($C55,PRECIOS!$A$2:$E$88,3,FALSE)),"NO EN LISTA"))</f>
        <v/>
      </c>
      <c r="M55" s="53">
        <f>IF(OR($C55="",NOT(ISNUMBER($L55))),"",IF(VLOOKUP($C55,PRECIOS!$A$2:$E$88,4,FALSE)="SI",IF(NOT(ISNUMBER($J55)),"",$A55*$J55*$L55),$A55*$L55))</f>
        <v/>
      </c>
    </row>
    <row r="56">
      <c r="A56" s="48" t="n"/>
      <c r="C56" s="51" t="n"/>
      <c r="G56" s="56" t="n"/>
      <c r="H56" s="89" t="n"/>
      <c r="J56" s="89">
        <f>IF($C56="","",IFERROR(IF(VLOOKUP($C56,PRECIOS!$A$2:$E$88,4,FALSE)&lt;&gt;"SI","",IF($H56="","",IF(OR(NOT(ISNUMBER($H56)),$H56&lt;=0,$H56&gt;50),"REVISAR LARGO",ROUND(ROUNDUP($H56/PRECIOS!$H$1,0)*PRECIOS!$H$1,2)))),""))</f>
        <v/>
      </c>
      <c r="L56" s="55">
        <f>IF($C56="","",IFERROR(IF(VLOOKUP($C56,PRECIOS!$A$2:$E$88,3,FALSE)="","SIN PRECIO",VLOOKUP($C56,PRECIOS!$A$2:$E$88,3,FALSE)),"NO EN LISTA"))</f>
        <v/>
      </c>
      <c r="M56" s="53">
        <f>IF(OR($C56="",NOT(ISNUMBER($L56))),"",IF(VLOOKUP($C56,PRECIOS!$A$2:$E$88,4,FALSE)="SI",IF(NOT(ISNUMBER($J56)),"",$A56*$J56*$L56),$A56*$L56))</f>
        <v/>
      </c>
    </row>
    <row r="57">
      <c r="A57" s="48" t="n"/>
      <c r="C57" s="51" t="n"/>
      <c r="G57" s="56" t="n"/>
      <c r="H57" s="89" t="n"/>
      <c r="J57" s="89">
        <f>IF($C57="","",IFERROR(IF(VLOOKUP($C57,PRECIOS!$A$2:$E$88,4,FALSE)&lt;&gt;"SI","",IF($H57="","",IF(OR(NOT(ISNUMBER($H57)),$H57&lt;=0,$H57&gt;50),"REVISAR LARGO",ROUND(ROUNDUP($H57/PRECIOS!$H$1,0)*PRECIOS!$H$1,2)))),""))</f>
        <v/>
      </c>
      <c r="L57" s="55">
        <f>IF($C57="","",IFERROR(IF(VLOOKUP($C57,PRECIOS!$A$2:$E$88,3,FALSE)="","SIN PRECIO",VLOOKUP($C57,PRECIOS!$A$2:$E$88,3,FALSE)),"NO EN LISTA"))</f>
        <v/>
      </c>
      <c r="M57" s="53">
        <f>IF(OR($C57="",NOT(ISNUMBER($L57))),"",IF(VLOOKUP($C57,PRECIOS!$A$2:$E$88,4,FALSE)="SI",IF(NOT(ISNUMBER($J57)),"",$A57*$J57*$L57),$A57*$L57))</f>
        <v/>
      </c>
    </row>
    <row r="58">
      <c r="A58" s="48" t="n"/>
      <c r="C58" s="51" t="n"/>
      <c r="G58" s="56" t="n"/>
      <c r="H58" s="89" t="n"/>
      <c r="J58" s="89">
        <f>IF($C58="","",IFERROR(IF(VLOOKUP($C58,PRECIOS!$A$2:$E$88,4,FALSE)&lt;&gt;"SI","",IF($H58="","",IF(OR(NOT(ISNUMBER($H58)),$H58&lt;=0,$H58&gt;50),"REVISAR LARGO",ROUND(ROUNDUP($H58/PRECIOS!$H$1,0)*PRECIOS!$H$1,2)))),""))</f>
        <v/>
      </c>
      <c r="L58" s="55">
        <f>IF($C58="","",IFERROR(IF(VLOOKUP($C58,PRECIOS!$A$2:$E$88,3,FALSE)="","SIN PRECIO",VLOOKUP($C58,PRECIOS!$A$2:$E$88,3,FALSE)),"NO EN LISTA"))</f>
        <v/>
      </c>
      <c r="M58" s="53">
        <f>IF(OR($C58="",NOT(ISNUMBER($L58))),"",IF(VLOOKUP($C58,PRECIOS!$A$2:$E$88,4,FALSE)="SI",IF(NOT(ISNUMBER($J58)),"",$A58*$J58*$L58),$A58*$L58))</f>
        <v/>
      </c>
    </row>
    <row r="59">
      <c r="A59" s="48" t="n"/>
      <c r="C59" s="51" t="n"/>
      <c r="G59" s="56" t="n"/>
      <c r="H59" s="89" t="n"/>
      <c r="J59" s="89">
        <f>IF($C59="","",IFERROR(IF(VLOOKUP($C59,PRECIOS!$A$2:$E$88,4,FALSE)&lt;&gt;"SI","",IF($H59="","",IF(OR(NOT(ISNUMBER($H59)),$H59&lt;=0,$H59&gt;50),"REVISAR LARGO",ROUND(ROUNDUP($H59/PRECIOS!$H$1,0)*PRECIOS!$H$1,2)))),""))</f>
        <v/>
      </c>
      <c r="L59" s="55">
        <f>IF($C59="","",IFERROR(IF(VLOOKUP($C59,PRECIOS!$A$2:$E$88,3,FALSE)="","SIN PRECIO",VLOOKUP($C59,PRECIOS!$A$2:$E$88,3,FALSE)),"NO EN LISTA"))</f>
        <v/>
      </c>
      <c r="M59" s="53">
        <f>IF(OR($C59="",NOT(ISNUMBER($L59))),"",IF(VLOOKUP($C59,PRECIOS!$A$2:$E$88,4,FALSE)="SI",IF(NOT(ISNUMBER($J59)),"",$A59*$J59*$L59),$A59*$L59))</f>
        <v/>
      </c>
    </row>
    <row r="60">
      <c r="A60" s="48" t="n"/>
      <c r="C60" s="51" t="n"/>
      <c r="G60" s="56" t="n"/>
      <c r="H60" s="89" t="n"/>
      <c r="J60" s="89">
        <f>IF($C60="","",IFERROR(IF(VLOOKUP($C60,PRECIOS!$A$2:$E$88,4,FALSE)&lt;&gt;"SI","",IF($H60="","",IF(OR(NOT(ISNUMBER($H60)),$H60&lt;=0,$H60&gt;50),"REVISAR LARGO",ROUND(ROUNDUP($H60/PRECIOS!$H$1,0)*PRECIOS!$H$1,2)))),""))</f>
        <v/>
      </c>
      <c r="L60" s="55">
        <f>IF($C60="","",IFERROR(IF(VLOOKUP($C60,PRECIOS!$A$2:$E$88,3,FALSE)="","SIN PRECIO",VLOOKUP($C60,PRECIOS!$A$2:$E$88,3,FALSE)),"NO EN LISTA"))</f>
        <v/>
      </c>
      <c r="M60" s="53">
        <f>IF(OR($C60="",NOT(ISNUMBER($L60))),"",IF(VLOOKUP($C60,PRECIOS!$A$2:$E$88,4,FALSE)="SI",IF(NOT(ISNUMBER($J60)),"",$A60*$J60*$L60),$A60*$L60))</f>
        <v/>
      </c>
    </row>
    <row r="61">
      <c r="A61" s="48" t="n"/>
      <c r="C61" s="51" t="n"/>
      <c r="G61" s="56" t="n"/>
      <c r="H61" s="89" t="n"/>
      <c r="J61" s="89">
        <f>IF($C61="","",IFERROR(IF(VLOOKUP($C61,PRECIOS!$A$2:$E$88,4,FALSE)&lt;&gt;"SI","",IF($H61="","",IF(OR(NOT(ISNUMBER($H61)),$H61&lt;=0,$H61&gt;50),"REVISAR LARGO",ROUND(ROUNDUP($H61/PRECIOS!$H$1,0)*PRECIOS!$H$1,2)))),""))</f>
        <v/>
      </c>
      <c r="L61" s="55">
        <f>IF($C61="","",IFERROR(IF(VLOOKUP($C61,PRECIOS!$A$2:$E$88,3,FALSE)="","SIN PRECIO",VLOOKUP($C61,PRECIOS!$A$2:$E$88,3,FALSE)),"NO EN LISTA"))</f>
        <v/>
      </c>
      <c r="M61" s="53">
        <f>IF(OR($C61="",NOT(ISNUMBER($L61))),"",IF(VLOOKUP($C61,PRECIOS!$A$2:$E$88,4,FALSE)="SI",IF(NOT(ISNUMBER($J61)),"",$A61*$J61*$L61),$A61*$L61))</f>
        <v/>
      </c>
    </row>
    <row r="62">
      <c r="A62" s="48" t="n"/>
      <c r="C62" s="51" t="n"/>
      <c r="G62" s="56" t="n"/>
      <c r="H62" s="89" t="n"/>
      <c r="J62" s="89">
        <f>IF($C62="","",IFERROR(IF(VLOOKUP($C62,PRECIOS!$A$2:$E$88,4,FALSE)&lt;&gt;"SI","",IF($H62="","",IF(OR(NOT(ISNUMBER($H62)),$H62&lt;=0,$H62&gt;50),"REVISAR LARGO",ROUND(ROUNDUP($H62/PRECIOS!$H$1,0)*PRECIOS!$H$1,2)))),""))</f>
        <v/>
      </c>
      <c r="L62" s="55">
        <f>IF($C62="","",IFERROR(IF(VLOOKUP($C62,PRECIOS!$A$2:$E$88,3,FALSE)="","SIN PRECIO",VLOOKUP($C62,PRECIOS!$A$2:$E$88,3,FALSE)),"NO EN LISTA"))</f>
        <v/>
      </c>
      <c r="M62" s="53">
        <f>IF(OR($C62="",NOT(ISNUMBER($L62))),"",IF(VLOOKUP($C62,PRECIOS!$A$2:$E$88,4,FALSE)="SI",IF(NOT(ISNUMBER($J62)),"",$A62*$J62*$L62),$A62*$L62))</f>
        <v/>
      </c>
    </row>
    <row r="63">
      <c r="A63" s="48" t="n"/>
      <c r="C63" s="51" t="n"/>
      <c r="G63" s="56" t="n"/>
      <c r="H63" s="89" t="n"/>
      <c r="J63" s="89">
        <f>IF($C63="","",IFERROR(IF(VLOOKUP($C63,PRECIOS!$A$2:$E$88,4,FALSE)&lt;&gt;"SI","",IF($H63="","",IF(OR(NOT(ISNUMBER($H63)),$H63&lt;=0,$H63&gt;50),"REVISAR LARGO",ROUND(ROUNDUP($H63/PRECIOS!$H$1,0)*PRECIOS!$H$1,2)))),""))</f>
        <v/>
      </c>
      <c r="L63" s="55">
        <f>IF($C63="","",IFERROR(IF(VLOOKUP($C63,PRECIOS!$A$2:$E$88,3,FALSE)="","SIN PRECIO",VLOOKUP($C63,PRECIOS!$A$2:$E$88,3,FALSE)),"NO EN LISTA"))</f>
        <v/>
      </c>
      <c r="M63" s="53">
        <f>IF(OR($C63="",NOT(ISNUMBER($L63))),"",IF(VLOOKUP($C63,PRECIOS!$A$2:$E$88,4,FALSE)="SI",IF(NOT(ISNUMBER($J63)),"",$A63*$J63*$L63),$A63*$L63))</f>
        <v/>
      </c>
    </row>
    <row r="64">
      <c r="A64" s="48" t="n"/>
      <c r="C64" s="51" t="n"/>
      <c r="G64" s="56" t="n"/>
      <c r="H64" s="89" t="n"/>
      <c r="J64" s="89">
        <f>IF($C64="","",IFERROR(IF(VLOOKUP($C64,PRECIOS!$A$2:$E$88,4,FALSE)&lt;&gt;"SI","",IF($H64="","",IF(OR(NOT(ISNUMBER($H64)),$H64&lt;=0,$H64&gt;50),"REVISAR LARGO",ROUND(ROUNDUP($H64/PRECIOS!$H$1,0)*PRECIOS!$H$1,2)))),""))</f>
        <v/>
      </c>
      <c r="L64" s="55">
        <f>IF($C64="","",IFERROR(IF(VLOOKUP($C64,PRECIOS!$A$2:$E$88,3,FALSE)="","SIN PRECIO",VLOOKUP($C64,PRECIOS!$A$2:$E$88,3,FALSE)),"NO EN LISTA"))</f>
        <v/>
      </c>
      <c r="M64" s="53">
        <f>IF(OR($C64="",NOT(ISNUMBER($L64))),"",IF(VLOOKUP($C64,PRECIOS!$A$2:$E$88,4,FALSE)="SI",IF(NOT(ISNUMBER($J64)),"",$A64*$J64*$L64),$A64*$L64))</f>
        <v/>
      </c>
    </row>
    <row r="65">
      <c r="A65" s="48" t="n"/>
      <c r="C65" s="51" t="n"/>
      <c r="G65" s="56" t="n"/>
      <c r="H65" s="89" t="n"/>
      <c r="J65" s="89">
        <f>IF($C65="","",IFERROR(IF(VLOOKUP($C65,PRECIOS!$A$2:$E$88,4,FALSE)&lt;&gt;"SI","",IF($H65="","",IF(OR(NOT(ISNUMBER($H65)),$H65&lt;=0,$H65&gt;50),"REVISAR LARGO",ROUND(ROUNDUP($H65/PRECIOS!$H$1,0)*PRECIOS!$H$1,2)))),""))</f>
        <v/>
      </c>
      <c r="L65" s="55">
        <f>IF($C65="","",IFERROR(IF(VLOOKUP($C65,PRECIOS!$A$2:$E$88,3,FALSE)="","SIN PRECIO",VLOOKUP($C65,PRECIOS!$A$2:$E$88,3,FALSE)),"NO EN LISTA"))</f>
        <v/>
      </c>
      <c r="M65" s="53">
        <f>IF(OR($C65="",NOT(ISNUMBER($L65))),"",IF(VLOOKUP($C65,PRECIOS!$A$2:$E$88,4,FALSE)="SI",IF(NOT(ISNUMBER($J65)),"",$A65*$J65*$L65),$A65*$L65))</f>
        <v/>
      </c>
    </row>
    <row r="66">
      <c r="A66" s="48" t="n"/>
      <c r="C66" s="51" t="n"/>
      <c r="G66" s="56" t="n"/>
      <c r="H66" s="89" t="n"/>
      <c r="J66" s="89">
        <f>IF($C66="","",IFERROR(IF(VLOOKUP($C66,PRECIOS!$A$2:$E$88,4,FALSE)&lt;&gt;"SI","",IF($H66="","",IF(OR(NOT(ISNUMBER($H66)),$H66&lt;=0,$H66&gt;50),"REVISAR LARGO",ROUND(ROUNDUP($H66/PRECIOS!$H$1,0)*PRECIOS!$H$1,2)))),""))</f>
        <v/>
      </c>
      <c r="L66" s="55">
        <f>IF($C66="","",IFERROR(IF(VLOOKUP($C66,PRECIOS!$A$2:$E$88,3,FALSE)="","SIN PRECIO",VLOOKUP($C66,PRECIOS!$A$2:$E$88,3,FALSE)),"NO EN LISTA"))</f>
        <v/>
      </c>
      <c r="M66" s="53">
        <f>IF(OR($C66="",NOT(ISNUMBER($L66))),"",IF(VLOOKUP($C66,PRECIOS!$A$2:$E$88,4,FALSE)="SI",IF(NOT(ISNUMBER($J66)),"",$A66*$J66*$L66),$A66*$L66))</f>
        <v/>
      </c>
    </row>
    <row r="67">
      <c r="A67" s="48" t="n"/>
      <c r="C67" s="51" t="n"/>
      <c r="G67" s="56" t="n"/>
      <c r="H67" s="89" t="n"/>
      <c r="J67" s="89">
        <f>IF($C67="","",IFERROR(IF(VLOOKUP($C67,PRECIOS!$A$2:$E$88,4,FALSE)&lt;&gt;"SI","",IF($H67="","",IF(OR(NOT(ISNUMBER($H67)),$H67&lt;=0,$H67&gt;50),"REVISAR LARGO",ROUND(ROUNDUP($H67/PRECIOS!$H$1,0)*PRECIOS!$H$1,2)))),""))</f>
        <v/>
      </c>
      <c r="L67" s="55">
        <f>IF($C67="","",IFERROR(IF(VLOOKUP($C67,PRECIOS!$A$2:$E$88,3,FALSE)="","SIN PRECIO",VLOOKUP($C67,PRECIOS!$A$2:$E$88,3,FALSE)),"NO EN LISTA"))</f>
        <v/>
      </c>
      <c r="M67" s="53">
        <f>IF(OR($C67="",NOT(ISNUMBER($L67))),"",IF(VLOOKUP($C67,PRECIOS!$A$2:$E$88,4,FALSE)="SI",IF(NOT(ISNUMBER($J67)),"",$A67*$J67*$L67),$A67*$L67))</f>
        <v/>
      </c>
    </row>
    <row r="68">
      <c r="A68" s="48" t="n"/>
      <c r="C68" s="51" t="n"/>
      <c r="G68" s="56" t="n"/>
      <c r="H68" s="89" t="n"/>
      <c r="J68" s="89">
        <f>IF($C68="","",IFERROR(IF(VLOOKUP($C68,PRECIOS!$A$2:$E$88,4,FALSE)&lt;&gt;"SI","",IF($H68="","",IF(OR(NOT(ISNUMBER($H68)),$H68&lt;=0,$H68&gt;50),"REVISAR LARGO",ROUND(ROUNDUP($H68/PRECIOS!$H$1,0)*PRECIOS!$H$1,2)))),""))</f>
        <v/>
      </c>
      <c r="L68" s="55">
        <f>IF($C68="","",IFERROR(IF(VLOOKUP($C68,PRECIOS!$A$2:$E$88,3,FALSE)="","SIN PRECIO",VLOOKUP($C68,PRECIOS!$A$2:$E$88,3,FALSE)),"NO EN LISTA"))</f>
        <v/>
      </c>
      <c r="M68" s="53">
        <f>IF(OR($C68="",NOT(ISNUMBER($L68))),"",IF(VLOOKUP($C68,PRECIOS!$A$2:$E$88,4,FALSE)="SI",IF(NOT(ISNUMBER($J68)),"",$A68*$J68*$L68),$A68*$L68))</f>
        <v/>
      </c>
    </row>
    <row r="69">
      <c r="A69" s="48" t="n"/>
      <c r="C69" s="51" t="n"/>
      <c r="G69" s="56" t="n"/>
      <c r="H69" s="89" t="n"/>
      <c r="J69" s="89">
        <f>IF($C69="","",IFERROR(IF(VLOOKUP($C69,PRECIOS!$A$2:$E$88,4,FALSE)&lt;&gt;"SI","",IF($H69="","",IF(OR(NOT(ISNUMBER($H69)),$H69&lt;=0,$H69&gt;50),"REVISAR LARGO",ROUND(ROUNDUP($H69/PRECIOS!$H$1,0)*PRECIOS!$H$1,2)))),""))</f>
        <v/>
      </c>
      <c r="L69" s="55">
        <f>IF($C69="","",IFERROR(IF(VLOOKUP($C69,PRECIOS!$A$2:$E$88,3,FALSE)="","SIN PRECIO",VLOOKUP($C69,PRECIOS!$A$2:$E$88,3,FALSE)),"NO EN LISTA"))</f>
        <v/>
      </c>
      <c r="M69" s="53">
        <f>IF(OR($C69="",NOT(ISNUMBER($L69))),"",IF(VLOOKUP($C69,PRECIOS!$A$2:$E$88,4,FALSE)="SI",IF(NOT(ISNUMBER($J69)),"",$A69*$J69*$L69),$A69*$L69))</f>
        <v/>
      </c>
    </row>
    <row r="70">
      <c r="A70" s="48" t="n"/>
      <c r="C70" s="51" t="n"/>
      <c r="G70" s="56" t="n"/>
      <c r="H70" s="89" t="n"/>
      <c r="J70" s="89">
        <f>IF($C70="","",IFERROR(IF(VLOOKUP($C70,PRECIOS!$A$2:$E$88,4,FALSE)&lt;&gt;"SI","",IF($H70="","",IF(OR(NOT(ISNUMBER($H70)),$H70&lt;=0,$H70&gt;50),"REVISAR LARGO",ROUND(ROUNDUP($H70/PRECIOS!$H$1,0)*PRECIOS!$H$1,2)))),""))</f>
        <v/>
      </c>
      <c r="L70" s="55">
        <f>IF($C70="","",IFERROR(IF(VLOOKUP($C70,PRECIOS!$A$2:$E$88,3,FALSE)="","SIN PRECIO",VLOOKUP($C70,PRECIOS!$A$2:$E$88,3,FALSE)),"NO EN LISTA"))</f>
        <v/>
      </c>
      <c r="M70" s="53">
        <f>IF(OR($C70="",NOT(ISNUMBER($L70))),"",IF(VLOOKUP($C70,PRECIOS!$A$2:$E$88,4,FALSE)="SI",IF(NOT(ISNUMBER($J70)),"",$A70*$J70*$L70),$A70*$L70))</f>
        <v/>
      </c>
    </row>
    <row r="71">
      <c r="A71" s="48" t="n"/>
      <c r="C71" s="51" t="n"/>
      <c r="G71" s="56" t="n"/>
      <c r="H71" s="89" t="n"/>
      <c r="J71" s="89">
        <f>IF($C71="","",IFERROR(IF(VLOOKUP($C71,PRECIOS!$A$2:$E$88,4,FALSE)&lt;&gt;"SI","",IF($H71="","",IF(OR(NOT(ISNUMBER($H71)),$H71&lt;=0,$H71&gt;50),"REVISAR LARGO",ROUND(ROUNDUP($H71/PRECIOS!$H$1,0)*PRECIOS!$H$1,2)))),""))</f>
        <v/>
      </c>
      <c r="L71" s="55">
        <f>IF($C71="","",IFERROR(IF(VLOOKUP($C71,PRECIOS!$A$2:$E$88,3,FALSE)="","SIN PRECIO",VLOOKUP($C71,PRECIOS!$A$2:$E$88,3,FALSE)),"NO EN LISTA"))</f>
        <v/>
      </c>
      <c r="M71" s="53">
        <f>IF(OR($C71="",NOT(ISNUMBER($L71))),"",IF(VLOOKUP($C71,PRECIOS!$A$2:$E$88,4,FALSE)="SI",IF(NOT(ISNUMBER($J71)),"",$A71*$J71*$L71),$A71*$L71))</f>
        <v/>
      </c>
    </row>
    <row r="72">
      <c r="A72" s="48" t="n"/>
      <c r="C72" s="51" t="n"/>
      <c r="G72" s="56" t="n"/>
      <c r="H72" s="89" t="n"/>
      <c r="J72" s="89">
        <f>IF($C72="","",IFERROR(IF(VLOOKUP($C72,PRECIOS!$A$2:$E$88,4,FALSE)&lt;&gt;"SI","",IF($H72="","",IF(OR(NOT(ISNUMBER($H72)),$H72&lt;=0,$H72&gt;50),"REVISAR LARGO",ROUND(ROUNDUP($H72/PRECIOS!$H$1,0)*PRECIOS!$H$1,2)))),""))</f>
        <v/>
      </c>
      <c r="L72" s="55">
        <f>IF($C72="","",IFERROR(IF(VLOOKUP($C72,PRECIOS!$A$2:$E$88,3,FALSE)="","SIN PRECIO",VLOOKUP($C72,PRECIOS!$A$2:$E$88,3,FALSE)),"NO EN LISTA"))</f>
        <v/>
      </c>
      <c r="M72" s="53">
        <f>IF(OR($C72="",NOT(ISNUMBER($L72))),"",IF(VLOOKUP($C72,PRECIOS!$A$2:$E$88,4,FALSE)="SI",IF(NOT(ISNUMBER($J72)),"",$A72*$J72*$L72),$A72*$L72))</f>
        <v/>
      </c>
    </row>
    <row r="73">
      <c r="A73" s="48" t="n"/>
      <c r="C73" s="51" t="n"/>
      <c r="G73" s="56" t="n"/>
      <c r="H73" s="89" t="n"/>
      <c r="J73" s="89">
        <f>IF($C73="","",IFERROR(IF(VLOOKUP($C73,PRECIOS!$A$2:$E$88,4,FALSE)&lt;&gt;"SI","",IF($H73="","",IF(OR(NOT(ISNUMBER($H73)),$H73&lt;=0,$H73&gt;50),"REVISAR LARGO",ROUND(ROUNDUP($H73/PRECIOS!$H$1,0)*PRECIOS!$H$1,2)))),""))</f>
        <v/>
      </c>
      <c r="L73" s="55">
        <f>IF($C73="","",IFERROR(IF(VLOOKUP($C73,PRECIOS!$A$2:$E$88,3,FALSE)="","SIN PRECIO",VLOOKUP($C73,PRECIOS!$A$2:$E$88,3,FALSE)),"NO EN LISTA"))</f>
        <v/>
      </c>
      <c r="M73" s="53">
        <f>IF(OR($C73="",NOT(ISNUMBER($L73))),"",IF(VLOOKUP($C73,PRECIOS!$A$2:$E$88,4,FALSE)="SI",IF(NOT(ISNUMBER($J73)),"",$A73*$J73*$L73),$A73*$L73))</f>
        <v/>
      </c>
    </row>
    <row r="74">
      <c r="A74" s="48" t="n"/>
      <c r="C74" s="51" t="n"/>
      <c r="G74" s="56" t="n"/>
      <c r="H74" s="89" t="n"/>
      <c r="J74" s="89">
        <f>IF($C74="","",IFERROR(IF(VLOOKUP($C74,PRECIOS!$A$2:$E$88,4,FALSE)&lt;&gt;"SI","",IF($H74="","",IF(OR(NOT(ISNUMBER($H74)),$H74&lt;=0,$H74&gt;50),"REVISAR LARGO",ROUND(ROUNDUP($H74/PRECIOS!$H$1,0)*PRECIOS!$H$1,2)))),""))</f>
        <v/>
      </c>
      <c r="L74" s="55">
        <f>IF($C74="","",IFERROR(IF(VLOOKUP($C74,PRECIOS!$A$2:$E$88,3,FALSE)="","SIN PRECIO",VLOOKUP($C74,PRECIOS!$A$2:$E$88,3,FALSE)),"NO EN LISTA"))</f>
        <v/>
      </c>
      <c r="M74" s="53">
        <f>IF(OR($C74="",NOT(ISNUMBER($L74))),"",IF(VLOOKUP($C74,PRECIOS!$A$2:$E$88,4,FALSE)="SI",IF(NOT(ISNUMBER($J74)),"",$A74*$J74*$L74),$A74*$L74))</f>
        <v/>
      </c>
    </row>
    <row r="75">
      <c r="A75" s="48" t="n"/>
      <c r="C75" s="51" t="n"/>
      <c r="G75" s="56" t="n"/>
      <c r="H75" s="89" t="n"/>
      <c r="J75" s="89">
        <f>IF($C75="","",IFERROR(IF(VLOOKUP($C75,PRECIOS!$A$2:$E$88,4,FALSE)&lt;&gt;"SI","",IF($H75="","",IF(OR(NOT(ISNUMBER($H75)),$H75&lt;=0,$H75&gt;50),"REVISAR LARGO",ROUND(ROUNDUP($H75/PRECIOS!$H$1,0)*PRECIOS!$H$1,2)))),""))</f>
        <v/>
      </c>
      <c r="L75" s="55">
        <f>IF($C75="","",IFERROR(IF(VLOOKUP($C75,PRECIOS!$A$2:$E$88,3,FALSE)="","SIN PRECIO",VLOOKUP($C75,PRECIOS!$A$2:$E$88,3,FALSE)),"NO EN LISTA"))</f>
        <v/>
      </c>
      <c r="M75" s="53">
        <f>IF(OR($C75="",NOT(ISNUMBER($L75))),"",IF(VLOOKUP($C75,PRECIOS!$A$2:$E$88,4,FALSE)="SI",IF(NOT(ISNUMBER($J75)),"",$A75*$J75*$L75),$A75*$L75))</f>
        <v/>
      </c>
    </row>
    <row r="76">
      <c r="A76" s="48" t="n"/>
      <c r="C76" s="51" t="n"/>
      <c r="G76" s="56" t="n"/>
      <c r="H76" s="89" t="n"/>
      <c r="J76" s="89">
        <f>IF($C76="","",IFERROR(IF(VLOOKUP($C76,PRECIOS!$A$2:$E$88,4,FALSE)&lt;&gt;"SI","",IF($H76="","",IF(OR(NOT(ISNUMBER($H76)),$H76&lt;=0,$H76&gt;50),"REVISAR LARGO",ROUND(ROUNDUP($H76/PRECIOS!$H$1,0)*PRECIOS!$H$1,2)))),""))</f>
        <v/>
      </c>
      <c r="L76" s="55">
        <f>IF($C76="","",IFERROR(IF(VLOOKUP($C76,PRECIOS!$A$2:$E$88,3,FALSE)="","SIN PRECIO",VLOOKUP($C76,PRECIOS!$A$2:$E$88,3,FALSE)),"NO EN LISTA"))</f>
        <v/>
      </c>
      <c r="M76" s="53">
        <f>IF(OR($C76="",NOT(ISNUMBER($L76))),"",IF(VLOOKUP($C76,PRECIOS!$A$2:$E$88,4,FALSE)="SI",IF(NOT(ISNUMBER($J76)),"",$A76*$J76*$L76),$A76*$L76))</f>
        <v/>
      </c>
    </row>
    <row r="77">
      <c r="A77" s="48" t="n"/>
      <c r="C77" s="51" t="n"/>
      <c r="G77" s="56" t="n"/>
      <c r="H77" s="89" t="n"/>
      <c r="J77" s="89">
        <f>IF($C77="","",IFERROR(IF(VLOOKUP($C77,PRECIOS!$A$2:$E$88,4,FALSE)&lt;&gt;"SI","",IF($H77="","",IF(OR(NOT(ISNUMBER($H77)),$H77&lt;=0,$H77&gt;50),"REVISAR LARGO",ROUND(ROUNDUP($H77/PRECIOS!$H$1,0)*PRECIOS!$H$1,2)))),""))</f>
        <v/>
      </c>
      <c r="L77" s="55">
        <f>IF($C77="","",IFERROR(IF(VLOOKUP($C77,PRECIOS!$A$2:$E$88,3,FALSE)="","SIN PRECIO",VLOOKUP($C77,PRECIOS!$A$2:$E$88,3,FALSE)),"NO EN LISTA"))</f>
        <v/>
      </c>
      <c r="M77" s="53">
        <f>IF(OR($C77="",NOT(ISNUMBER($L77))),"",IF(VLOOKUP($C77,PRECIOS!$A$2:$E$88,4,FALSE)="SI",IF(NOT(ISNUMBER($J77)),"",$A77*$J77*$L77),$A77*$L77))</f>
        <v/>
      </c>
    </row>
    <row r="78">
      <c r="A78" s="48" t="n"/>
      <c r="C78" s="51" t="n"/>
      <c r="G78" s="56" t="n"/>
      <c r="H78" s="89" t="n"/>
      <c r="J78" s="89">
        <f>IF($C78="","",IFERROR(IF(VLOOKUP($C78,PRECIOS!$A$2:$E$88,4,FALSE)&lt;&gt;"SI","",IF($H78="","",IF(OR(NOT(ISNUMBER($H78)),$H78&lt;=0,$H78&gt;50),"REVISAR LARGO",ROUND(ROUNDUP($H78/PRECIOS!$H$1,0)*PRECIOS!$H$1,2)))),""))</f>
        <v/>
      </c>
      <c r="L78" s="55">
        <f>IF($C78="","",IFERROR(IF(VLOOKUP($C78,PRECIOS!$A$2:$E$88,3,FALSE)="","SIN PRECIO",VLOOKUP($C78,PRECIOS!$A$2:$E$88,3,FALSE)),"NO EN LISTA"))</f>
        <v/>
      </c>
      <c r="M78" s="53">
        <f>IF(OR($C78="",NOT(ISNUMBER($L78))),"",IF(VLOOKUP($C78,PRECIOS!$A$2:$E$88,4,FALSE)="SI",IF(NOT(ISNUMBER($J78)),"",$A78*$J78*$L78),$A78*$L78))</f>
        <v/>
      </c>
    </row>
    <row r="79">
      <c r="A79" s="48" t="n"/>
      <c r="C79" s="51" t="n"/>
      <c r="G79" s="56" t="n"/>
      <c r="H79" s="89" t="n"/>
      <c r="J79" s="89">
        <f>IF($C79="","",IFERROR(IF(VLOOKUP($C79,PRECIOS!$A$2:$E$88,4,FALSE)&lt;&gt;"SI","",IF($H79="","",IF(OR(NOT(ISNUMBER($H79)),$H79&lt;=0,$H79&gt;50),"REVISAR LARGO",ROUND(ROUNDUP($H79/PRECIOS!$H$1,0)*PRECIOS!$H$1,2)))),""))</f>
        <v/>
      </c>
      <c r="L79" s="55">
        <f>IF($C79="","",IFERROR(IF(VLOOKUP($C79,PRECIOS!$A$2:$E$88,3,FALSE)="","SIN PRECIO",VLOOKUP($C79,PRECIOS!$A$2:$E$88,3,FALSE)),"NO EN LISTA"))</f>
        <v/>
      </c>
      <c r="M79" s="53">
        <f>IF(OR($C79="",NOT(ISNUMBER($L79))),"",IF(VLOOKUP($C79,PRECIOS!$A$2:$E$88,4,FALSE)="SI",IF(NOT(ISNUMBER($J79)),"",$A79*$J79*$L79),$A79*$L79))</f>
        <v/>
      </c>
    </row>
    <row r="80">
      <c r="A80" s="48" t="n"/>
      <c r="C80" s="51" t="n"/>
      <c r="G80" s="56" t="n"/>
      <c r="H80" s="89" t="n"/>
      <c r="J80" s="89">
        <f>IF($C80="","",IFERROR(IF(VLOOKUP($C80,PRECIOS!$A$2:$E$88,4,FALSE)&lt;&gt;"SI","",IF($H80="","",IF(OR(NOT(ISNUMBER($H80)),$H80&lt;=0,$H80&gt;50),"REVISAR LARGO",ROUND(ROUNDUP($H80/PRECIOS!$H$1,0)*PRECIOS!$H$1,2)))),""))</f>
        <v/>
      </c>
      <c r="L80" s="55">
        <f>IF($C80="","",IFERROR(IF(VLOOKUP($C80,PRECIOS!$A$2:$E$88,3,FALSE)="","SIN PRECIO",VLOOKUP($C80,PRECIOS!$A$2:$E$88,3,FALSE)),"NO EN LISTA"))</f>
        <v/>
      </c>
      <c r="M80" s="53">
        <f>IF(OR($C80="",NOT(ISNUMBER($L80))),"",IF(VLOOKUP($C80,PRECIOS!$A$2:$E$88,4,FALSE)="SI",IF(NOT(ISNUMBER($J80)),"",$A80*$J80*$L80),$A80*$L80))</f>
        <v/>
      </c>
    </row>
    <row r="81">
      <c r="A81" s="48" t="n"/>
      <c r="C81" s="51" t="n"/>
      <c r="G81" s="56" t="n"/>
      <c r="H81" s="89" t="n"/>
      <c r="J81" s="89">
        <f>IF($C81="","",IFERROR(IF(VLOOKUP($C81,PRECIOS!$A$2:$E$88,4,FALSE)&lt;&gt;"SI","",IF($H81="","",IF(OR(NOT(ISNUMBER($H81)),$H81&lt;=0,$H81&gt;50),"REVISAR LARGO",ROUND(ROUNDUP($H81/PRECIOS!$H$1,0)*PRECIOS!$H$1,2)))),""))</f>
        <v/>
      </c>
      <c r="L81" s="55">
        <f>IF($C81="","",IFERROR(IF(VLOOKUP($C81,PRECIOS!$A$2:$E$88,3,FALSE)="","SIN PRECIO",VLOOKUP($C81,PRECIOS!$A$2:$E$88,3,FALSE)),"NO EN LISTA"))</f>
        <v/>
      </c>
      <c r="M81" s="53">
        <f>IF(OR($C81="",NOT(ISNUMBER($L81))),"",IF(VLOOKUP($C81,PRECIOS!$A$2:$E$88,4,FALSE)="SI",IF(NOT(ISNUMBER($J81)),"",$A81*$J81*$L81),$A81*$L81))</f>
        <v/>
      </c>
    </row>
    <row r="82">
      <c r="A82" s="48" t="n"/>
      <c r="C82" s="51" t="n"/>
      <c r="G82" s="56" t="n"/>
      <c r="H82" s="89" t="n"/>
      <c r="J82" s="89">
        <f>IF($C82="","",IFERROR(IF(VLOOKUP($C82,PRECIOS!$A$2:$E$88,4,FALSE)&lt;&gt;"SI","",IF($H82="","",IF(OR(NOT(ISNUMBER($H82)),$H82&lt;=0,$H82&gt;50),"REVISAR LARGO",ROUND(ROUNDUP($H82/PRECIOS!$H$1,0)*PRECIOS!$H$1,2)))),""))</f>
        <v/>
      </c>
      <c r="L82" s="55">
        <f>IF($C82="","",IFERROR(IF(VLOOKUP($C82,PRECIOS!$A$2:$E$88,3,FALSE)="","SIN PRECIO",VLOOKUP($C82,PRECIOS!$A$2:$E$88,3,FALSE)),"NO EN LISTA"))</f>
        <v/>
      </c>
      <c r="M82" s="53">
        <f>IF(OR($C82="",NOT(ISNUMBER($L82))),"",IF(VLOOKUP($C82,PRECIOS!$A$2:$E$88,4,FALSE)="SI",IF(NOT(ISNUMBER($J82)),"",$A82*$J82*$L82),$A82*$L82))</f>
        <v/>
      </c>
    </row>
    <row r="83">
      <c r="A83" s="48" t="n"/>
      <c r="C83" s="51" t="n"/>
      <c r="G83" s="56" t="n"/>
      <c r="H83" s="89" t="n"/>
      <c r="J83" s="90">
        <f>IF($C83="","",IFERROR(IF(VLOOKUP($C83,PRECIOS!$A$2:$E$88,4,FALSE)&lt;&gt;"SI","",IF($H83="","",IF(OR(NOT(ISNUMBER($H83)),$H83&lt;=0,$H83&gt;50),"REVISAR LARGO",ROUND(ROUNDUP($H83/PRECIOS!$H$1,0)*PRECIOS!$H$1,2)))),""))</f>
        <v/>
      </c>
      <c r="L83" s="59">
        <f>IF($C83="","",IFERROR(IF(VLOOKUP($C83,PRECIOS!$A$2:$E$88,3,FALSE)="","SIN PRECIO",VLOOKUP($C83,PRECIOS!$A$2:$E$88,3,FALSE)),"NO EN LISTA"))</f>
        <v/>
      </c>
      <c r="M83" s="53">
        <f>IF(OR($C83="",NOT(ISNUMBER($L83))),"",IF(VLOOKUP($C83,PRECIOS!$A$2:$E$88,4,FALSE)="SI",IF(NOT(ISNUMBER($J83)),"",$A83*$J83*$L83),$A83*$L83))</f>
        <v/>
      </c>
    </row>
    <row r="84" ht="15.75" customHeight="1" s="70">
      <c r="A84" s="48" t="n"/>
      <c r="C84" s="51" t="n"/>
      <c r="G84" s="56" t="n"/>
      <c r="H84" s="89" t="n"/>
      <c r="J84" s="91">
        <f>IF($C84="","",IFERROR(IF(VLOOKUP($C84,PRECIOS!$A$2:$E$88,4,FALSE)&lt;&gt;"SI","",IF($H84="","",IF(OR(NOT(ISNUMBER($H84)),$H84&lt;=0,$H84&gt;50),"REVISAR LARGO",ROUND(ROUNDUP($H84/PRECIOS!$H$1,0)*PRECIOS!$H$1,2)))),""))</f>
        <v/>
      </c>
      <c r="L84" s="92">
        <f>IF($C84="","",IFERROR(IF(VLOOKUP($C84,PRECIOS!$A$2:$E$88,3,FALSE)="","SIN PRECIO",VLOOKUP($C84,PRECIOS!$A$2:$E$88,3,FALSE)),"NO EN LISTA"))</f>
        <v/>
      </c>
      <c r="M84" s="61">
        <f>IF(OR($C84="",NOT(ISNUMBER($L84))),"",IF(VLOOKUP($C84,PRECIOS!$A$2:$E$88,4,FALSE)="SI",IF(NOT(ISNUMBER($J84)),"",$A84*$J84*$L84),$A84*$L84))</f>
        <v/>
      </c>
    </row>
    <row r="85" ht="15.75" customHeight="1" s="70">
      <c r="A85" s="62" t="n"/>
      <c r="C85" s="63" t="n"/>
      <c r="G85" s="56" t="n"/>
      <c r="H85" s="89" t="n"/>
      <c r="J85" s="93">
        <f>IF($C85="","",IFERROR(IF(VLOOKUP($C85,PRECIOS!$A$2:$E$88,4,FALSE)&lt;&gt;"SI","",IF($H85="","",IF(OR(NOT(ISNUMBER($H85)),$H85&lt;=0,$H85&gt;50),"REVISAR LARGO",ROUND(ROUNDUP($H85/PRECIOS!$H$1,0)*PRECIOS!$H$1,2)))),""))</f>
        <v/>
      </c>
      <c r="L85" s="92">
        <f>IF($C85="","",IFERROR(IF(VLOOKUP($C85,PRECIOS!$A$2:$E$88,3,FALSE)="","SIN PRECIO",VLOOKUP($C85,PRECIOS!$A$2:$E$88,3,FALSE)),"NO EN LISTA"))</f>
        <v/>
      </c>
      <c r="M85" s="92">
        <f>IF(OR($C85="",NOT(ISNUMBER($L85))),"",IF(VLOOKUP($C85,PRECIOS!$A$2:$E$88,4,FALSE)="SI",IF(NOT(ISNUMBER($J85)),"",$A85*$J85*$L85),$A85*$L85))</f>
        <v/>
      </c>
    </row>
    <row r="86" ht="15.75" customHeight="1" s="70">
      <c r="A86" s="94" t="inlineStr">
        <is>
          <t>PRECIOS MAS IVA</t>
        </is>
      </c>
      <c r="C86" s="95" t="inlineStr">
        <is>
          <t>TOTAL</t>
        </is>
      </c>
      <c r="H86" s="96" t="inlineStr">
        <is>
          <t>TOTAL</t>
        </is>
      </c>
      <c r="L86" s="97">
        <f>SUM(M8:M85)</f>
        <v/>
      </c>
      <c r="M86" s="75" t="n"/>
    </row>
    <row r="87" ht="15.75" customHeight="1" s="70">
      <c r="A87" s="98" t="n"/>
      <c r="B87" s="99" t="n"/>
      <c r="C87" s="99" t="n"/>
      <c r="D87" s="99" t="n"/>
      <c r="E87" s="99" t="n"/>
      <c r="F87" s="99" t="n"/>
      <c r="G87" s="99" t="n"/>
      <c r="H87" s="99" t="n"/>
      <c r="I87" s="99" t="n"/>
      <c r="J87" s="99" t="n"/>
      <c r="K87" s="99" t="n"/>
      <c r="L87" s="99" t="n"/>
      <c r="M87" s="100" t="n"/>
    </row>
    <row r="88" ht="15.75" customHeight="1" s="70">
      <c r="C88" s="63" t="n"/>
    </row>
    <row r="89" ht="15.75" customHeight="1" s="70">
      <c r="C89" s="63" t="n"/>
    </row>
    <row r="90" ht="15.75" customHeight="1" s="70">
      <c r="C90" s="63" t="n"/>
    </row>
    <row r="91" ht="1.5" customHeight="1" s="70">
      <c r="C91" s="63" t="n"/>
    </row>
    <row r="92" ht="15.75" customHeight="1" s="70">
      <c r="C92" s="63" t="n"/>
    </row>
    <row r="93" ht="15.75" customHeight="1" s="70">
      <c r="C93" s="63" t="n"/>
    </row>
    <row r="94" ht="15.75" customHeight="1" s="70">
      <c r="C94" s="63" t="n"/>
    </row>
    <row r="95" ht="15.75" customHeight="1" s="70">
      <c r="C95" s="63" t="n"/>
    </row>
    <row r="96" ht="15.75" customHeight="1" s="70">
      <c r="C96" s="63" t="n"/>
    </row>
    <row r="97" ht="15.75" customHeight="1" s="70">
      <c r="C97" s="63" t="n"/>
    </row>
    <row r="98" ht="15.75" customHeight="1" s="70">
      <c r="C98" s="63" t="n"/>
    </row>
    <row r="99" ht="15.75" customHeight="1" s="70">
      <c r="C99" s="63" t="n"/>
    </row>
    <row r="100" ht="15.75" customHeight="1" s="70">
      <c r="C100" s="63" t="n"/>
    </row>
    <row r="101" ht="15.75" customHeight="1" s="70">
      <c r="C101" s="63" t="n"/>
    </row>
    <row r="102" ht="15.75" customHeight="1" s="70">
      <c r="C102" s="63" t="n"/>
    </row>
    <row r="103" ht="15.75" customHeight="1" s="70">
      <c r="C103" s="63" t="n"/>
      <c r="L103" s="14" t="n"/>
    </row>
    <row r="104" ht="15.75" customHeight="1" s="70">
      <c r="C104" s="63" t="n"/>
    </row>
    <row r="105" ht="15.75" customHeight="1" s="70">
      <c r="C105" s="63" t="n"/>
    </row>
    <row r="106" ht="15.75" customHeight="1" s="70">
      <c r="C106" s="63" t="n"/>
    </row>
    <row r="107" ht="15.75" customHeight="1" s="70">
      <c r="C107" s="63" t="n"/>
    </row>
    <row r="108" ht="15.75" customHeight="1" s="70">
      <c r="C108" s="63" t="n"/>
    </row>
    <row r="109" ht="15.75" customHeight="1" s="70">
      <c r="C109" s="63" t="n"/>
    </row>
    <row r="110" ht="15.75" customHeight="1" s="70">
      <c r="C110" s="63" t="n"/>
    </row>
    <row r="111" ht="15.75" customHeight="1" s="70">
      <c r="C111" s="63" t="n"/>
    </row>
    <row r="112" ht="15.75" customHeight="1" s="70">
      <c r="C112" s="63" t="n"/>
    </row>
    <row r="113" ht="15.75" customHeight="1" s="70">
      <c r="C113" s="63" t="n"/>
    </row>
    <row r="114" ht="15.75" customHeight="1" s="70">
      <c r="C114" s="63" t="n"/>
    </row>
    <row r="115" ht="15.75" customHeight="1" s="70">
      <c r="C115" s="63" t="n"/>
    </row>
    <row r="116" ht="15.75" customHeight="1" s="70">
      <c r="C116" s="63" t="n"/>
    </row>
    <row r="117" ht="15.75" customHeight="1" s="70">
      <c r="C117" s="63" t="n"/>
    </row>
    <row r="118" ht="15.75" customHeight="1" s="70">
      <c r="C118" s="63" t="n"/>
    </row>
    <row r="119" ht="15.75" customHeight="1" s="70">
      <c r="C119" s="63" t="n"/>
    </row>
    <row r="120" ht="15.75" customHeight="1" s="70">
      <c r="C120" s="63" t="n"/>
    </row>
    <row r="121" ht="15.75" customHeight="1" s="70">
      <c r="C121" s="63" t="n"/>
    </row>
    <row r="122" ht="15.75" customHeight="1" s="70">
      <c r="C122" s="63" t="n"/>
    </row>
    <row r="123" ht="15.75" customHeight="1" s="70">
      <c r="C123" s="63" t="n"/>
    </row>
    <row r="124" ht="15.75" customHeight="1" s="70">
      <c r="C124" s="63" t="n"/>
    </row>
    <row r="125" ht="15.75" customHeight="1" s="70">
      <c r="C125" s="63" t="n"/>
    </row>
    <row r="126" ht="15.75" customHeight="1" s="70">
      <c r="C126" s="63" t="n"/>
    </row>
    <row r="127" ht="15.75" customHeight="1" s="70">
      <c r="C127" s="63" t="n"/>
    </row>
    <row r="128" ht="15.75" customHeight="1" s="70">
      <c r="C128" s="63" t="n"/>
    </row>
    <row r="129" ht="15.75" customHeight="1" s="70">
      <c r="C129" s="63" t="n"/>
    </row>
    <row r="130" ht="15.75" customHeight="1" s="70">
      <c r="C130" s="63" t="n"/>
    </row>
    <row r="131" ht="15.75" customHeight="1" s="70">
      <c r="C131" s="63" t="n"/>
    </row>
    <row r="132" ht="15.75" customHeight="1" s="70">
      <c r="C132" s="63" t="n"/>
    </row>
    <row r="133" ht="15.75" customHeight="1" s="70">
      <c r="C133" s="63" t="n"/>
    </row>
    <row r="134" ht="15.75" customHeight="1" s="70">
      <c r="C134" s="63" t="n"/>
    </row>
    <row r="135" ht="15.75" customHeight="1" s="70">
      <c r="C135" s="63" t="n"/>
    </row>
    <row r="136" ht="15.75" customHeight="1" s="70">
      <c r="C136" s="63" t="n"/>
    </row>
    <row r="137" ht="15.75" customHeight="1" s="70">
      <c r="C137" s="63" t="n"/>
    </row>
    <row r="138" ht="15.75" customHeight="1" s="70">
      <c r="C138" s="63" t="n"/>
    </row>
    <row r="139" ht="15.75" customHeight="1" s="70">
      <c r="C139" s="63" t="n"/>
    </row>
    <row r="140" ht="15.75" customHeight="1" s="70">
      <c r="C140" s="63" t="n"/>
    </row>
    <row r="141" ht="15.75" customHeight="1" s="70">
      <c r="C141" s="63" t="n"/>
    </row>
    <row r="142" ht="15.75" customHeight="1" s="70">
      <c r="C142" s="63" t="n"/>
    </row>
    <row r="143" ht="15.75" customHeight="1" s="70">
      <c r="C143" s="63" t="n"/>
    </row>
    <row r="144" ht="15.75" customHeight="1" s="70">
      <c r="C144" s="63" t="n"/>
    </row>
    <row r="145" ht="15.75" customHeight="1" s="70">
      <c r="C145" s="63" t="n"/>
    </row>
    <row r="146" ht="15.75" customHeight="1" s="70">
      <c r="C146" s="63" t="n"/>
    </row>
    <row r="147" ht="15.75" customHeight="1" s="70">
      <c r="C147" s="63" t="n"/>
    </row>
    <row r="148" ht="15.75" customHeight="1" s="70">
      <c r="C148" s="63" t="n"/>
    </row>
    <row r="149" ht="15.75" customHeight="1" s="70">
      <c r="C149" s="63" t="n"/>
    </row>
    <row r="150" ht="15.75" customHeight="1" s="70">
      <c r="C150" s="63" t="n"/>
    </row>
    <row r="151" ht="15.75" customHeight="1" s="70">
      <c r="C151" s="63" t="n"/>
    </row>
    <row r="152" ht="15.75" customHeight="1" s="70">
      <c r="C152" s="63" t="n"/>
    </row>
    <row r="153" ht="15.75" customHeight="1" s="70">
      <c r="C153" s="63" t="n"/>
    </row>
    <row r="154" ht="15.75" customHeight="1" s="70">
      <c r="C154" s="63" t="n"/>
    </row>
    <row r="155" ht="15.75" customHeight="1" s="70">
      <c r="C155" s="63" t="n"/>
    </row>
    <row r="156" ht="15.75" customHeight="1" s="70">
      <c r="C156" s="63" t="n"/>
    </row>
    <row r="157" ht="15.75" customHeight="1" s="70">
      <c r="C157" s="63" t="n"/>
    </row>
    <row r="158" ht="15.75" customHeight="1" s="70">
      <c r="C158" s="63" t="n"/>
    </row>
    <row r="159" ht="15.75" customHeight="1" s="70">
      <c r="C159" s="63" t="n"/>
    </row>
    <row r="160" ht="15.75" customHeight="1" s="70">
      <c r="C160" s="63" t="n"/>
    </row>
    <row r="161" ht="15.75" customHeight="1" s="70">
      <c r="C161" s="63" t="n"/>
    </row>
    <row r="162" ht="15.75" customHeight="1" s="70">
      <c r="C162" s="63" t="n"/>
    </row>
    <row r="163" ht="15.75" customHeight="1" s="70">
      <c r="C163" s="63" t="n"/>
    </row>
    <row r="164" ht="15.75" customHeight="1" s="70">
      <c r="C164" s="63" t="n"/>
    </row>
    <row r="165" ht="15.75" customHeight="1" s="70">
      <c r="C165" s="63" t="n"/>
    </row>
    <row r="166" ht="15.75" customHeight="1" s="70">
      <c r="C166" s="63" t="n"/>
    </row>
    <row r="167" ht="15.75" customHeight="1" s="70">
      <c r="C167" s="63" t="n"/>
    </row>
    <row r="168" ht="15.75" customHeight="1" s="70">
      <c r="C168" s="63" t="n"/>
    </row>
    <row r="169" ht="15.75" customHeight="1" s="70">
      <c r="C169" s="63" t="n"/>
    </row>
    <row r="170" ht="15.75" customHeight="1" s="70">
      <c r="C170" s="63" t="n"/>
    </row>
    <row r="171" ht="15.75" customHeight="1" s="70">
      <c r="C171" s="63" t="n"/>
    </row>
    <row r="172" ht="15.75" customHeight="1" s="70">
      <c r="C172" s="63" t="n"/>
    </row>
    <row r="173" ht="15.75" customHeight="1" s="70">
      <c r="C173" s="63" t="n"/>
    </row>
    <row r="174" ht="15.75" customHeight="1" s="70">
      <c r="C174" s="63" t="n"/>
    </row>
    <row r="175" ht="15.75" customHeight="1" s="70">
      <c r="C175" s="63" t="n"/>
    </row>
    <row r="176" ht="15.75" customHeight="1" s="70">
      <c r="C176" s="63" t="n"/>
    </row>
    <row r="177" ht="15.75" customHeight="1" s="70">
      <c r="C177" s="63" t="n"/>
    </row>
    <row r="178" ht="15.75" customHeight="1" s="70">
      <c r="C178" s="63" t="n"/>
    </row>
    <row r="179" ht="15.75" customHeight="1" s="70">
      <c r="C179" s="63" t="n"/>
    </row>
    <row r="180" ht="15.75" customHeight="1" s="70">
      <c r="C180" s="63" t="n"/>
    </row>
    <row r="181" ht="15.75" customHeight="1" s="70">
      <c r="C181" s="63" t="n"/>
    </row>
    <row r="182" ht="15.75" customHeight="1" s="70">
      <c r="C182" s="63" t="n"/>
    </row>
    <row r="183" ht="15.75" customHeight="1" s="70">
      <c r="C183" s="63" t="n"/>
    </row>
    <row r="184" ht="15.75" customHeight="1" s="70">
      <c r="C184" s="63" t="n"/>
    </row>
    <row r="185" ht="15.75" customHeight="1" s="70">
      <c r="C185" s="63" t="n"/>
    </row>
    <row r="186" ht="15.75" customHeight="1" s="70">
      <c r="C186" s="63" t="n"/>
    </row>
    <row r="187" ht="15.75" customHeight="1" s="70">
      <c r="C187" s="63" t="n"/>
    </row>
    <row r="188" ht="15.75" customHeight="1" s="70">
      <c r="C188" s="63" t="n"/>
    </row>
    <row r="189" ht="15.75" customHeight="1" s="70">
      <c r="C189" s="63" t="n"/>
    </row>
    <row r="190" ht="15.75" customHeight="1" s="70">
      <c r="C190" s="63" t="n"/>
    </row>
    <row r="191" ht="15.75" customHeight="1" s="70">
      <c r="C191" s="63" t="n"/>
    </row>
    <row r="192" ht="15.75" customHeight="1" s="70">
      <c r="C192" s="63" t="n"/>
    </row>
    <row r="193" ht="15.75" customHeight="1" s="70">
      <c r="C193" s="63" t="n"/>
    </row>
    <row r="194" ht="15.75" customHeight="1" s="70">
      <c r="C194" s="63" t="n"/>
    </row>
    <row r="195" ht="15.75" customHeight="1" s="70">
      <c r="C195" s="63" t="n"/>
    </row>
    <row r="196" ht="15.75" customHeight="1" s="70">
      <c r="C196" s="63" t="n"/>
    </row>
    <row r="197" ht="15.75" customHeight="1" s="70">
      <c r="C197" s="63" t="n"/>
    </row>
    <row r="198" ht="15.75" customHeight="1" s="70">
      <c r="C198" s="63" t="n"/>
    </row>
    <row r="199" ht="15.75" customHeight="1" s="70">
      <c r="C199" s="63" t="n"/>
    </row>
    <row r="200" ht="15.75" customHeight="1" s="70">
      <c r="C200" s="63" t="n"/>
    </row>
    <row r="201" ht="15.75" customHeight="1" s="70">
      <c r="C201" s="63" t="n"/>
    </row>
    <row r="202" ht="15.75" customHeight="1" s="70">
      <c r="C202" s="63" t="n"/>
    </row>
    <row r="203" ht="15.75" customHeight="1" s="70">
      <c r="C203" s="63" t="n"/>
    </row>
    <row r="204" ht="15.75" customHeight="1" s="70">
      <c r="C204" s="63" t="n"/>
    </row>
    <row r="205" ht="15.75" customHeight="1" s="70">
      <c r="C205" s="63" t="n"/>
    </row>
    <row r="206" ht="15.75" customHeight="1" s="70">
      <c r="C206" s="63" t="n"/>
    </row>
    <row r="207" ht="15.75" customHeight="1" s="70">
      <c r="C207" s="63" t="n"/>
    </row>
    <row r="208" ht="15.75" customHeight="1" s="70">
      <c r="C208" s="63" t="n"/>
    </row>
    <row r="209" ht="15.75" customHeight="1" s="70">
      <c r="C209" s="63" t="n"/>
    </row>
    <row r="210" ht="15.75" customHeight="1" s="70">
      <c r="C210" s="63" t="n"/>
    </row>
    <row r="211" ht="15.75" customHeight="1" s="70">
      <c r="C211" s="63" t="n"/>
    </row>
    <row r="212" ht="15.75" customHeight="1" s="70">
      <c r="C212" s="63" t="n"/>
    </row>
    <row r="213" ht="15.75" customHeight="1" s="70">
      <c r="C213" s="63" t="n"/>
    </row>
    <row r="214" ht="15.75" customHeight="1" s="70">
      <c r="C214" s="63" t="n"/>
    </row>
    <row r="215" ht="15.75" customHeight="1" s="70">
      <c r="C215" s="63" t="n"/>
    </row>
    <row r="216" ht="15.75" customHeight="1" s="70">
      <c r="C216" s="63" t="n"/>
    </row>
    <row r="217" ht="15.75" customHeight="1" s="70">
      <c r="C217" s="63" t="n"/>
    </row>
    <row r="218" ht="15.75" customHeight="1" s="70">
      <c r="C218" s="63" t="n"/>
    </row>
    <row r="219" ht="15.75" customHeight="1" s="70">
      <c r="C219" s="63" t="n"/>
    </row>
    <row r="220" ht="15.75" customHeight="1" s="70">
      <c r="C220" s="63" t="n"/>
    </row>
    <row r="221" ht="15.75" customHeight="1" s="70">
      <c r="C221" s="63" t="n"/>
    </row>
    <row r="222" ht="15.75" customHeight="1" s="70">
      <c r="C222" s="63" t="n"/>
    </row>
    <row r="223" ht="15.75" customHeight="1" s="70">
      <c r="C223" s="63" t="n"/>
    </row>
    <row r="224" ht="15.75" customHeight="1" s="70">
      <c r="C224" s="63" t="n"/>
    </row>
    <row r="225" ht="15.75" customHeight="1" s="70">
      <c r="C225" s="63" t="n"/>
    </row>
    <row r="226" ht="15.75" customHeight="1" s="70">
      <c r="C226" s="63" t="n"/>
    </row>
    <row r="227" ht="15.75" customHeight="1" s="70">
      <c r="C227" s="63" t="n"/>
    </row>
    <row r="228" ht="15.75" customHeight="1" s="70">
      <c r="C228" s="63" t="n"/>
    </row>
    <row r="229" ht="15.75" customHeight="1" s="70">
      <c r="C229" s="63" t="n"/>
    </row>
    <row r="230" ht="15.75" customHeight="1" s="70">
      <c r="C230" s="63" t="n"/>
    </row>
    <row r="231" ht="15.75" customHeight="1" s="70">
      <c r="C231" s="63" t="n"/>
    </row>
    <row r="232" ht="15.75" customHeight="1" s="70">
      <c r="C232" s="63" t="n"/>
    </row>
    <row r="233" ht="15.75" customHeight="1" s="70">
      <c r="C233" s="63" t="n"/>
    </row>
    <row r="234" ht="15.75" customHeight="1" s="70">
      <c r="C234" s="63" t="n"/>
    </row>
    <row r="235" ht="15.75" customHeight="1" s="70">
      <c r="C235" s="63" t="n"/>
    </row>
    <row r="236" ht="15.75" customHeight="1" s="70">
      <c r="C236" s="63" t="n"/>
    </row>
    <row r="237" ht="15.75" customHeight="1" s="70">
      <c r="C237" s="63" t="n"/>
    </row>
    <row r="238" ht="15.75" customHeight="1" s="70">
      <c r="C238" s="63" t="n"/>
    </row>
    <row r="239" ht="15.75" customHeight="1" s="70">
      <c r="C239" s="63" t="n"/>
    </row>
    <row r="240" ht="15.75" customHeight="1" s="70">
      <c r="C240" s="63" t="n"/>
    </row>
    <row r="241" ht="15.75" customHeight="1" s="70">
      <c r="C241" s="63" t="n"/>
    </row>
    <row r="242" ht="15.75" customHeight="1" s="70">
      <c r="C242" s="63" t="n"/>
    </row>
    <row r="243" ht="15.75" customHeight="1" s="70">
      <c r="C243" s="63" t="n"/>
    </row>
    <row r="244" ht="15.75" customHeight="1" s="70">
      <c r="C244" s="63" t="n"/>
    </row>
    <row r="245" ht="15.75" customHeight="1" s="70">
      <c r="C245" s="63" t="n"/>
    </row>
    <row r="246" ht="15.75" customHeight="1" s="70">
      <c r="C246" s="63" t="n"/>
    </row>
    <row r="247" ht="15.75" customHeight="1" s="70">
      <c r="C247" s="63" t="n"/>
    </row>
    <row r="248" ht="15.75" customHeight="1" s="70"/>
    <row r="249" ht="15.75" customHeight="1" s="70"/>
    <row r="250" ht="15.75" customHeight="1" s="70"/>
    <row r="251" ht="15.75" customHeight="1" s="70"/>
    <row r="252" ht="15.75" customHeight="1" s="70"/>
    <row r="253" ht="15.75" customHeight="1" s="70"/>
    <row r="254" ht="15.75" customHeight="1" s="70"/>
    <row r="255" ht="15.75" customHeight="1" s="70"/>
    <row r="256" ht="15.75" customHeight="1" s="70"/>
    <row r="257" ht="15.75" customHeight="1" s="70"/>
    <row r="258" ht="15.75" customHeight="1" s="70"/>
    <row r="259" ht="15.75" customHeight="1" s="70"/>
    <row r="260" ht="15.75" customHeight="1" s="70"/>
    <row r="261" ht="15.75" customHeight="1" s="70"/>
    <row r="262" ht="15.75" customHeight="1" s="70"/>
    <row r="263" ht="15.75" customHeight="1" s="70"/>
    <row r="264" ht="15.75" customHeight="1" s="70"/>
    <row r="265" ht="15.75" customHeight="1" s="70"/>
    <row r="266" ht="15.75" customHeight="1" s="70"/>
    <row r="267" ht="15.75" customHeight="1" s="70"/>
    <row r="268" ht="15.75" customHeight="1" s="70"/>
    <row r="269" ht="15.75" customHeight="1" s="70"/>
    <row r="270" ht="15.75" customHeight="1" s="70"/>
    <row r="271" ht="15.75" customHeight="1" s="70"/>
    <row r="272" ht="15.75" customHeight="1" s="70"/>
    <row r="273" ht="15.75" customHeight="1" s="70"/>
    <row r="274" ht="15.75" customHeight="1" s="70"/>
    <row r="275" ht="15.75" customHeight="1" s="70"/>
    <row r="276" ht="15.75" customHeight="1" s="70"/>
    <row r="277" ht="15.75" customHeight="1" s="70"/>
    <row r="278" ht="15.75" customHeight="1" s="70"/>
    <row r="279" ht="15.75" customHeight="1" s="70"/>
    <row r="280" ht="15.75" customHeight="1" s="70"/>
    <row r="281" ht="15.75" customHeight="1" s="70"/>
    <row r="282" ht="15.75" customHeight="1" s="70"/>
    <row r="283" ht="15.75" customHeight="1" s="70"/>
    <row r="284" ht="15.75" customHeight="1" s="70"/>
    <row r="285" ht="15.75" customHeight="1" s="70"/>
    <row r="286" ht="15.75" customHeight="1" s="70"/>
    <row r="287" ht="15.75" customHeight="1" s="70"/>
    <row r="288" ht="15.75" customHeight="1" s="70"/>
    <row r="289" ht="15.75" customHeight="1" s="70"/>
    <row r="290" ht="15.75" customHeight="1" s="70"/>
    <row r="291" ht="15.75" customHeight="1" s="70"/>
    <row r="292" ht="15.75" customHeight="1" s="70"/>
    <row r="293" ht="15.75" customHeight="1" s="70"/>
    <row r="294" ht="15.75" customHeight="1" s="70"/>
    <row r="295" ht="15.75" customHeight="1" s="70"/>
    <row r="296" ht="15.75" customHeight="1" s="70"/>
    <row r="297" ht="15.75" customHeight="1" s="70"/>
    <row r="298" ht="15.75" customHeight="1" s="70"/>
    <row r="299" ht="15.75" customHeight="1" s="70"/>
    <row r="300" ht="15.75" customHeight="1" s="70"/>
    <row r="301" ht="15.75" customHeight="1" s="70"/>
    <row r="302" ht="15.75" customHeight="1" s="70"/>
    <row r="303" ht="15.75" customHeight="1" s="70"/>
    <row r="304" ht="15.75" customHeight="1" s="70"/>
    <row r="305" ht="15.75" customHeight="1" s="70"/>
    <row r="306" ht="15.75" customHeight="1" s="70"/>
    <row r="307" ht="15.75" customHeight="1" s="70"/>
    <row r="308" ht="15.75" customHeight="1" s="70"/>
    <row r="309" ht="15.75" customHeight="1" s="70"/>
    <row r="310" ht="15.75" customHeight="1" s="70"/>
    <row r="311" ht="15.75" customHeight="1" s="70"/>
    <row r="312" ht="15.75" customHeight="1" s="70"/>
    <row r="313" ht="15.75" customHeight="1" s="70"/>
    <row r="314" ht="15.75" customHeight="1" s="70"/>
    <row r="315" ht="15.75" customHeight="1" s="70"/>
    <row r="316" ht="15.75" customHeight="1" s="70"/>
    <row r="317" ht="15.75" customHeight="1" s="70"/>
    <row r="318" ht="15.75" customHeight="1" s="70"/>
    <row r="319" ht="15.75" customHeight="1" s="70"/>
    <row r="320" ht="15.75" customHeight="1" s="70"/>
    <row r="321" ht="15.75" customHeight="1" s="70"/>
    <row r="322" ht="15.75" customHeight="1" s="70"/>
    <row r="323" ht="15.75" customHeight="1" s="70"/>
    <row r="324" ht="15.75" customHeight="1" s="70"/>
    <row r="325" ht="15.75" customHeight="1" s="70"/>
    <row r="326" ht="15.75" customHeight="1" s="70"/>
    <row r="327" ht="15.75" customHeight="1" s="70"/>
    <row r="328" ht="15.75" customHeight="1" s="70"/>
    <row r="329" ht="15.75" customHeight="1" s="70"/>
    <row r="330" ht="15.75" customHeight="1" s="70"/>
    <row r="331" ht="15.75" customHeight="1" s="70"/>
    <row r="332" ht="15.75" customHeight="1" s="70"/>
    <row r="333" ht="15.75" customHeight="1" s="70"/>
    <row r="334" ht="15.75" customHeight="1" s="70"/>
    <row r="335" ht="15.75" customHeight="1" s="70"/>
    <row r="336" ht="15.75" customHeight="1" s="70"/>
    <row r="337" ht="15.75" customHeight="1" s="70"/>
    <row r="338" ht="15.75" customHeight="1" s="70"/>
    <row r="339" ht="15.75" customHeight="1" s="70"/>
    <row r="340" ht="15.75" customHeight="1" s="70"/>
    <row r="341" ht="15.75" customHeight="1" s="70"/>
    <row r="342" ht="15.75" customHeight="1" s="70"/>
    <row r="343" ht="15.75" customHeight="1" s="70"/>
    <row r="344" ht="15.75" customHeight="1" s="70"/>
    <row r="345" ht="15.75" customHeight="1" s="70"/>
    <row r="346" ht="15.75" customHeight="1" s="70"/>
    <row r="347" ht="15.75" customHeight="1" s="70"/>
    <row r="348" ht="15.75" customHeight="1" s="70"/>
    <row r="349" ht="15.75" customHeight="1" s="70"/>
    <row r="350" ht="15.75" customHeight="1" s="70"/>
    <row r="351" ht="15.75" customHeight="1" s="70"/>
    <row r="352" ht="15.75" customHeight="1" s="70"/>
    <row r="353" ht="15.75" customHeight="1" s="70"/>
    <row r="354" ht="15.75" customHeight="1" s="70"/>
    <row r="355" ht="15.75" customHeight="1" s="70"/>
    <row r="356" ht="15.75" customHeight="1" s="70"/>
    <row r="357" ht="15.75" customHeight="1" s="70"/>
    <row r="358" ht="15.75" customHeight="1" s="70"/>
    <row r="359" ht="15.75" customHeight="1" s="70"/>
    <row r="360" ht="15.75" customHeight="1" s="70"/>
    <row r="361" ht="15.75" customHeight="1" s="70"/>
    <row r="362" ht="15.75" customHeight="1" s="70"/>
    <row r="363" ht="15.75" customHeight="1" s="70"/>
    <row r="364" ht="15.75" customHeight="1" s="70"/>
    <row r="365" ht="15.75" customHeight="1" s="70"/>
    <row r="366" ht="15.75" customHeight="1" s="70"/>
    <row r="367" ht="15.75" customHeight="1" s="70"/>
    <row r="368" ht="15.75" customHeight="1" s="70"/>
    <row r="369" ht="15.75" customHeight="1" s="70"/>
    <row r="370" ht="15.75" customHeight="1" s="70"/>
    <row r="371" ht="15.75" customHeight="1" s="70"/>
    <row r="372" ht="15.75" customHeight="1" s="70"/>
    <row r="373" ht="15.75" customHeight="1" s="70"/>
    <row r="374" ht="15.75" customHeight="1" s="70"/>
    <row r="375" ht="15.75" customHeight="1" s="70"/>
    <row r="376" ht="15.75" customHeight="1" s="70"/>
    <row r="377" ht="15.75" customHeight="1" s="70"/>
    <row r="378" ht="15.75" customHeight="1" s="70"/>
    <row r="379" ht="15.75" customHeight="1" s="70"/>
    <row r="380" ht="15.75" customHeight="1" s="70"/>
    <row r="381" ht="15.75" customHeight="1" s="70"/>
    <row r="382" ht="15.75" customHeight="1" s="70"/>
    <row r="383" ht="15.75" customHeight="1" s="70"/>
    <row r="384" ht="15.75" customHeight="1" s="70"/>
    <row r="385" ht="15.75" customHeight="1" s="70"/>
    <row r="386" ht="15.75" customHeight="1" s="70"/>
    <row r="387" ht="15.75" customHeight="1" s="70"/>
    <row r="388" ht="15.75" customHeight="1" s="70"/>
    <row r="389" ht="15.75" customHeight="1" s="70"/>
    <row r="390" ht="15.75" customHeight="1" s="70"/>
    <row r="391" ht="15.75" customHeight="1" s="70"/>
    <row r="392" ht="15.75" customHeight="1" s="70"/>
    <row r="393" ht="15.75" customHeight="1" s="70"/>
    <row r="394" ht="15.75" customHeight="1" s="70"/>
    <row r="395" ht="15.75" customHeight="1" s="70"/>
    <row r="396" ht="15.75" customHeight="1" s="70"/>
    <row r="397" ht="15.75" customHeight="1" s="70"/>
    <row r="398" ht="15.75" customHeight="1" s="70"/>
    <row r="399" ht="15.75" customHeight="1" s="70"/>
    <row r="400" ht="15.75" customHeight="1" s="70"/>
    <row r="401" ht="15.75" customHeight="1" s="70"/>
    <row r="402" ht="15.75" customHeight="1" s="70"/>
    <row r="403" ht="15.75" customHeight="1" s="70"/>
    <row r="404" ht="15.75" customHeight="1" s="70"/>
    <row r="405" ht="15.75" customHeight="1" s="70"/>
    <row r="406" ht="15.75" customHeight="1" s="70"/>
    <row r="407" ht="15.75" customHeight="1" s="70"/>
    <row r="408" ht="15.75" customHeight="1" s="70"/>
    <row r="409" ht="15.75" customHeight="1" s="70"/>
    <row r="410" ht="15.75" customHeight="1" s="70"/>
    <row r="411" ht="15.75" customHeight="1" s="70"/>
    <row r="412" ht="15.75" customHeight="1" s="70"/>
    <row r="413" ht="15.75" customHeight="1" s="70"/>
    <row r="414" ht="15.75" customHeight="1" s="70"/>
    <row r="415" ht="15.75" customHeight="1" s="70"/>
    <row r="416" ht="15.75" customHeight="1" s="70"/>
    <row r="417" ht="15.75" customHeight="1" s="70"/>
    <row r="418" ht="15.75" customHeight="1" s="70"/>
    <row r="419" ht="15.75" customHeight="1" s="70"/>
    <row r="420" ht="15.75" customHeight="1" s="70"/>
    <row r="421" ht="15.75" customHeight="1" s="70"/>
    <row r="422" ht="15.75" customHeight="1" s="70"/>
    <row r="423" ht="15.75" customHeight="1" s="70"/>
    <row r="424" ht="15.75" customHeight="1" s="70"/>
    <row r="425" ht="15.75" customHeight="1" s="70"/>
    <row r="426" ht="15.75" customHeight="1" s="70"/>
    <row r="427" ht="15.75" customHeight="1" s="70"/>
    <row r="428" ht="15.75" customHeight="1" s="70"/>
    <row r="429" ht="15.75" customHeight="1" s="70"/>
    <row r="430" ht="15.75" customHeight="1" s="70"/>
    <row r="431" ht="15.75" customHeight="1" s="70"/>
    <row r="432" ht="15.75" customHeight="1" s="70"/>
    <row r="433" ht="15.75" customHeight="1" s="70"/>
    <row r="434" ht="15.75" customHeight="1" s="70"/>
    <row r="435" ht="15.75" customHeight="1" s="70"/>
    <row r="436" ht="15.75" customHeight="1" s="70"/>
    <row r="437" ht="15.75" customHeight="1" s="70"/>
    <row r="438" ht="15.75" customHeight="1" s="70"/>
    <row r="439" ht="15.75" customHeight="1" s="70"/>
    <row r="440" ht="15.75" customHeight="1" s="70"/>
    <row r="441" ht="15.75" customHeight="1" s="70"/>
    <row r="442" ht="15.75" customHeight="1" s="70"/>
    <row r="443" ht="15.75" customHeight="1" s="70"/>
    <row r="444" ht="15.75" customHeight="1" s="70"/>
    <row r="445" ht="15.75" customHeight="1" s="70"/>
    <row r="446" ht="15.75" customHeight="1" s="70"/>
    <row r="447" ht="15.75" customHeight="1" s="70"/>
    <row r="448" ht="15.75" customHeight="1" s="70"/>
    <row r="449" ht="15.75" customHeight="1" s="70"/>
    <row r="450" ht="15.75" customHeight="1" s="70"/>
    <row r="451" ht="15.75" customHeight="1" s="70"/>
    <row r="452" ht="15.75" customHeight="1" s="70"/>
    <row r="453" ht="15.75" customHeight="1" s="70"/>
    <row r="454" ht="15.75" customHeight="1" s="70"/>
    <row r="455" ht="15.75" customHeight="1" s="70"/>
    <row r="456" ht="15.75" customHeight="1" s="70"/>
    <row r="457" ht="15.75" customHeight="1" s="70"/>
    <row r="458" ht="15.75" customHeight="1" s="70"/>
    <row r="459" ht="15.75" customHeight="1" s="70"/>
    <row r="460" ht="15.75" customHeight="1" s="70"/>
    <row r="461" ht="15.75" customHeight="1" s="70"/>
    <row r="462" ht="15.75" customHeight="1" s="70"/>
    <row r="463" ht="15.75" customHeight="1" s="70"/>
    <row r="464" ht="15.75" customHeight="1" s="70"/>
    <row r="465" ht="15.75" customHeight="1" s="70"/>
    <row r="466" ht="15.75" customHeight="1" s="70"/>
    <row r="467" ht="15.75" customHeight="1" s="70"/>
    <row r="468" ht="15.75" customHeight="1" s="70"/>
    <row r="469" ht="15.75" customHeight="1" s="70"/>
    <row r="470" ht="15.75" customHeight="1" s="70"/>
    <row r="471" ht="15.75" customHeight="1" s="70"/>
    <row r="472" ht="15.75" customHeight="1" s="70"/>
    <row r="473" ht="15.75" customHeight="1" s="70"/>
    <row r="474" ht="15.75" customHeight="1" s="70"/>
    <row r="475" ht="15.75" customHeight="1" s="70"/>
    <row r="476" ht="15.75" customHeight="1" s="70"/>
    <row r="477" ht="15.75" customHeight="1" s="70"/>
    <row r="478" ht="15.75" customHeight="1" s="70"/>
    <row r="479" ht="15.75" customHeight="1" s="70"/>
    <row r="480" ht="15.75" customHeight="1" s="70"/>
    <row r="481" ht="15.75" customHeight="1" s="70"/>
    <row r="482" ht="15.75" customHeight="1" s="70"/>
    <row r="483" ht="15.75" customHeight="1" s="70"/>
    <row r="484" ht="15.75" customHeight="1" s="70"/>
    <row r="485" ht="15.75" customHeight="1" s="70"/>
    <row r="486" ht="15.75" customHeight="1" s="70"/>
    <row r="487" ht="15.75" customHeight="1" s="70"/>
    <row r="488" ht="15.75" customHeight="1" s="70"/>
    <row r="489" ht="15.75" customHeight="1" s="70"/>
    <row r="490" ht="15.75" customHeight="1" s="70"/>
    <row r="491" ht="15.75" customHeight="1" s="70"/>
    <row r="492" ht="15.75" customHeight="1" s="70"/>
    <row r="493" ht="15.75" customHeight="1" s="70"/>
    <row r="494" ht="15.75" customHeight="1" s="70"/>
    <row r="495" ht="15.75" customHeight="1" s="70"/>
    <row r="496" ht="15.75" customHeight="1" s="70"/>
    <row r="497" ht="15.75" customHeight="1" s="70"/>
    <row r="498" ht="15.75" customHeight="1" s="70"/>
    <row r="499" ht="15.75" customHeight="1" s="70"/>
    <row r="500" ht="15.75" customHeight="1" s="70"/>
    <row r="501" ht="15.75" customHeight="1" s="70"/>
    <row r="502" ht="15.75" customHeight="1" s="70"/>
    <row r="503" ht="15.75" customHeight="1" s="70"/>
    <row r="504" ht="15.75" customHeight="1" s="70"/>
    <row r="505" ht="15.75" customHeight="1" s="70"/>
    <row r="506" ht="15.75" customHeight="1" s="70"/>
    <row r="507" ht="15.75" customHeight="1" s="70"/>
    <row r="508" ht="15.75" customHeight="1" s="70"/>
    <row r="509" ht="15.75" customHeight="1" s="70"/>
    <row r="510" ht="15.75" customHeight="1" s="70"/>
    <row r="511" ht="15.75" customHeight="1" s="70"/>
    <row r="512" ht="15.75" customHeight="1" s="70"/>
    <row r="513" ht="15.75" customHeight="1" s="70"/>
    <row r="514" ht="15.75" customHeight="1" s="70"/>
    <row r="515" ht="15.75" customHeight="1" s="70"/>
    <row r="516" ht="15.75" customHeight="1" s="70"/>
    <row r="517" ht="15.75" customHeight="1" s="70"/>
    <row r="518" ht="15.75" customHeight="1" s="70"/>
    <row r="519" ht="15.75" customHeight="1" s="70"/>
    <row r="520" ht="15.75" customHeight="1" s="70"/>
    <row r="521" ht="15.75" customHeight="1" s="70"/>
    <row r="522" ht="15.75" customHeight="1" s="70"/>
    <row r="523" ht="15.75" customHeight="1" s="70"/>
    <row r="524" ht="15.75" customHeight="1" s="70"/>
    <row r="525" ht="15.75" customHeight="1" s="70"/>
    <row r="526" ht="15.75" customHeight="1" s="70"/>
    <row r="527" ht="15.75" customHeight="1" s="70"/>
    <row r="528" ht="15.75" customHeight="1" s="70"/>
    <row r="529" ht="15.75" customHeight="1" s="70"/>
    <row r="530" ht="15.75" customHeight="1" s="70"/>
    <row r="531" ht="15.75" customHeight="1" s="70"/>
    <row r="532" ht="15.75" customHeight="1" s="70"/>
    <row r="533" ht="15.75" customHeight="1" s="70"/>
    <row r="534" ht="15.75" customHeight="1" s="70"/>
    <row r="535" ht="15.75" customHeight="1" s="70"/>
    <row r="536" ht="15.75" customHeight="1" s="70"/>
    <row r="537" ht="15.75" customHeight="1" s="70"/>
    <row r="538" ht="15.75" customHeight="1" s="70"/>
    <row r="539" ht="15.75" customHeight="1" s="70"/>
    <row r="540" ht="15.75" customHeight="1" s="70"/>
    <row r="541" ht="15.75" customHeight="1" s="70"/>
    <row r="542" ht="15.75" customHeight="1" s="70"/>
    <row r="543" ht="15.75" customHeight="1" s="70"/>
    <row r="544" ht="15.75" customHeight="1" s="70"/>
    <row r="545" ht="15.75" customHeight="1" s="70"/>
    <row r="546" ht="15.75" customHeight="1" s="70"/>
    <row r="547" ht="15.75" customHeight="1" s="70"/>
    <row r="548" ht="15.75" customHeight="1" s="70"/>
    <row r="549" ht="15.75" customHeight="1" s="70"/>
    <row r="550" ht="15.75" customHeight="1" s="70"/>
    <row r="551" ht="15.75" customHeight="1" s="70"/>
    <row r="552" ht="15.75" customHeight="1" s="70"/>
    <row r="553" ht="15.75" customHeight="1" s="70"/>
    <row r="554" ht="15.75" customHeight="1" s="70"/>
    <row r="555" ht="15.75" customHeight="1" s="70"/>
    <row r="556" ht="15.75" customHeight="1" s="70"/>
    <row r="557" ht="15.75" customHeight="1" s="70"/>
    <row r="558" ht="15.75" customHeight="1" s="70"/>
    <row r="559" ht="15.75" customHeight="1" s="70"/>
    <row r="560" ht="15.75" customHeight="1" s="70"/>
    <row r="561" ht="15.75" customHeight="1" s="70"/>
    <row r="562" ht="15.75" customHeight="1" s="70"/>
    <row r="563" ht="15.75" customHeight="1" s="70"/>
    <row r="564" ht="15.75" customHeight="1" s="70"/>
    <row r="565" ht="15.75" customHeight="1" s="70"/>
    <row r="566" ht="15.75" customHeight="1" s="70"/>
    <row r="567" ht="15.75" customHeight="1" s="70"/>
    <row r="568" ht="15.75" customHeight="1" s="70"/>
    <row r="569" ht="15.75" customHeight="1" s="70"/>
    <row r="570" ht="15.75" customHeight="1" s="70"/>
    <row r="571" ht="15.75" customHeight="1" s="70"/>
    <row r="572" ht="15.75" customHeight="1" s="70"/>
    <row r="573" ht="15.75" customHeight="1" s="70"/>
    <row r="574" ht="15.75" customHeight="1" s="70"/>
    <row r="575" ht="15.75" customHeight="1" s="70"/>
    <row r="576" ht="15.75" customHeight="1" s="70"/>
    <row r="577" ht="15.75" customHeight="1" s="70"/>
    <row r="578" ht="15.75" customHeight="1" s="70"/>
    <row r="579" ht="15.75" customHeight="1" s="70"/>
    <row r="580" ht="15.75" customHeight="1" s="70"/>
    <row r="581" ht="15.75" customHeight="1" s="70"/>
    <row r="582" ht="15.75" customHeight="1" s="70"/>
    <row r="583" ht="15.75" customHeight="1" s="70"/>
    <row r="584" ht="15.75" customHeight="1" s="70"/>
    <row r="585" ht="15.75" customHeight="1" s="70"/>
    <row r="586" ht="15.75" customHeight="1" s="70"/>
    <row r="587" ht="15.75" customHeight="1" s="70"/>
    <row r="588" ht="15.75" customHeight="1" s="70"/>
    <row r="589" ht="15.75" customHeight="1" s="70"/>
    <row r="590" ht="15.75" customHeight="1" s="70"/>
    <row r="591" ht="15.75" customHeight="1" s="70"/>
    <row r="592" ht="15.75" customHeight="1" s="70"/>
    <row r="593" ht="15.75" customHeight="1" s="70"/>
    <row r="594" ht="15.75" customHeight="1" s="70"/>
    <row r="595" ht="15.75" customHeight="1" s="70"/>
    <row r="596" ht="15.75" customHeight="1" s="70"/>
    <row r="597" ht="15.75" customHeight="1" s="70"/>
    <row r="598" ht="15.75" customHeight="1" s="70"/>
    <row r="599" ht="15.75" customHeight="1" s="70"/>
    <row r="600" ht="15.75" customHeight="1" s="70"/>
    <row r="601" ht="15.75" customHeight="1" s="70"/>
    <row r="602" ht="15.75" customHeight="1" s="70"/>
    <row r="603" ht="15.75" customHeight="1" s="70"/>
    <row r="604" ht="15.75" customHeight="1" s="70"/>
    <row r="605" ht="15.75" customHeight="1" s="70"/>
    <row r="606" ht="15.75" customHeight="1" s="70"/>
    <row r="607" ht="15.75" customHeight="1" s="70"/>
    <row r="608" ht="15.75" customHeight="1" s="70"/>
    <row r="609" ht="15.75" customHeight="1" s="70"/>
    <row r="610" ht="15.75" customHeight="1" s="70"/>
    <row r="611" ht="15.75" customHeight="1" s="70"/>
    <row r="612" ht="15.75" customHeight="1" s="70"/>
    <row r="613" ht="15.75" customHeight="1" s="70"/>
    <row r="614" ht="15.75" customHeight="1" s="70"/>
    <row r="615" ht="15.75" customHeight="1" s="70"/>
    <row r="616" ht="15.75" customHeight="1" s="70"/>
    <row r="617" ht="15.75" customHeight="1" s="70"/>
    <row r="618" ht="15.75" customHeight="1" s="70"/>
    <row r="619" ht="15.75" customHeight="1" s="70"/>
    <row r="620" ht="15.75" customHeight="1" s="70"/>
    <row r="621" ht="15.75" customHeight="1" s="70"/>
    <row r="622" ht="15.75" customHeight="1" s="70"/>
    <row r="623" ht="15.75" customHeight="1" s="70"/>
    <row r="624" ht="15.75" customHeight="1" s="70"/>
    <row r="625" ht="15.75" customHeight="1" s="70"/>
    <row r="626" ht="15.75" customHeight="1" s="70"/>
    <row r="627" ht="15.75" customHeight="1" s="70"/>
    <row r="628" ht="15.75" customHeight="1" s="70"/>
    <row r="629" ht="15.75" customHeight="1" s="70"/>
    <row r="630" ht="15.75" customHeight="1" s="70"/>
    <row r="631" ht="15.75" customHeight="1" s="70"/>
    <row r="632" ht="15.75" customHeight="1" s="70"/>
    <row r="633" ht="15.75" customHeight="1" s="70"/>
    <row r="634" ht="15.75" customHeight="1" s="70"/>
    <row r="635" ht="15.75" customHeight="1" s="70"/>
    <row r="636" ht="15.75" customHeight="1" s="70"/>
    <row r="637" ht="15.75" customHeight="1" s="70"/>
    <row r="638" ht="15.75" customHeight="1" s="70"/>
    <row r="639" ht="15.75" customHeight="1" s="70"/>
    <row r="640" ht="15.75" customHeight="1" s="70"/>
    <row r="641" ht="15.75" customHeight="1" s="70"/>
    <row r="642" ht="15.75" customHeight="1" s="70"/>
    <row r="643" ht="15.75" customHeight="1" s="70"/>
    <row r="644" ht="15.75" customHeight="1" s="70"/>
    <row r="645" ht="15.75" customHeight="1" s="70"/>
    <row r="646" ht="15.75" customHeight="1" s="70"/>
    <row r="647" ht="15.75" customHeight="1" s="70"/>
    <row r="648" ht="15.75" customHeight="1" s="70"/>
    <row r="649" ht="15.75" customHeight="1" s="70"/>
    <row r="650" ht="15.75" customHeight="1" s="70"/>
    <row r="651" ht="15.75" customHeight="1" s="70"/>
    <row r="652" ht="15.75" customHeight="1" s="70"/>
    <row r="653" ht="15.75" customHeight="1" s="70"/>
    <row r="654" ht="15.75" customHeight="1" s="70"/>
    <row r="655" ht="15.75" customHeight="1" s="70"/>
    <row r="656" ht="15.75" customHeight="1" s="70"/>
    <row r="657" ht="15.75" customHeight="1" s="70"/>
    <row r="658" ht="15.75" customHeight="1" s="70"/>
    <row r="659" ht="15.75" customHeight="1" s="70"/>
    <row r="660" ht="15.75" customHeight="1" s="70"/>
    <row r="661" ht="15.75" customHeight="1" s="70"/>
    <row r="662" ht="15.75" customHeight="1" s="70"/>
    <row r="663" ht="15.75" customHeight="1" s="70"/>
    <row r="664" ht="15.75" customHeight="1" s="70"/>
    <row r="665" ht="15.75" customHeight="1" s="70"/>
    <row r="666" ht="15.75" customHeight="1" s="70"/>
    <row r="667" ht="15.75" customHeight="1" s="70"/>
    <row r="668" ht="15.75" customHeight="1" s="70"/>
    <row r="669" ht="15.75" customHeight="1" s="70"/>
    <row r="670" ht="15.75" customHeight="1" s="70"/>
    <row r="671" ht="15.75" customHeight="1" s="70"/>
    <row r="672" ht="15.75" customHeight="1" s="70"/>
    <row r="673" ht="15.75" customHeight="1" s="70"/>
    <row r="674" ht="15.75" customHeight="1" s="70"/>
    <row r="675" ht="15.75" customHeight="1" s="70"/>
    <row r="676" ht="15.75" customHeight="1" s="70"/>
    <row r="677" ht="15.75" customHeight="1" s="70"/>
    <row r="678" ht="15.75" customHeight="1" s="70"/>
    <row r="679" ht="15.75" customHeight="1" s="70"/>
    <row r="680" ht="15.75" customHeight="1" s="70"/>
    <row r="681" ht="15.75" customHeight="1" s="70"/>
    <row r="682" ht="15.75" customHeight="1" s="70"/>
    <row r="683" ht="15.75" customHeight="1" s="70"/>
    <row r="684" ht="15.75" customHeight="1" s="70"/>
    <row r="685" ht="15.75" customHeight="1" s="70"/>
    <row r="686" ht="15.75" customHeight="1" s="70"/>
    <row r="687" ht="15.75" customHeight="1" s="70"/>
    <row r="688" ht="15.75" customHeight="1" s="70"/>
    <row r="689" ht="15.75" customHeight="1" s="70"/>
    <row r="690" ht="15.75" customHeight="1" s="70"/>
    <row r="691" ht="15.75" customHeight="1" s="70"/>
    <row r="692" ht="15.75" customHeight="1" s="70"/>
    <row r="693" ht="15.75" customHeight="1" s="70"/>
    <row r="694" ht="15.75" customHeight="1" s="70"/>
    <row r="695" ht="15.75" customHeight="1" s="70"/>
    <row r="696" ht="15.75" customHeight="1" s="70"/>
    <row r="697" ht="15.75" customHeight="1" s="70"/>
    <row r="698" ht="15.75" customHeight="1" s="70"/>
    <row r="699" ht="15.75" customHeight="1" s="70"/>
    <row r="700" ht="15.75" customHeight="1" s="70"/>
    <row r="701" ht="15.75" customHeight="1" s="70"/>
    <row r="702" ht="15.75" customHeight="1" s="70"/>
    <row r="703" ht="15.75" customHeight="1" s="70"/>
    <row r="704" ht="15.75" customHeight="1" s="70"/>
    <row r="705" ht="15.75" customHeight="1" s="70"/>
    <row r="706" ht="15.75" customHeight="1" s="70"/>
    <row r="707" ht="15.75" customHeight="1" s="70"/>
    <row r="708" ht="15.75" customHeight="1" s="70"/>
    <row r="709" ht="15.75" customHeight="1" s="70"/>
    <row r="710" ht="15.75" customHeight="1" s="70"/>
    <row r="711" ht="15.75" customHeight="1" s="70"/>
    <row r="712" ht="15.75" customHeight="1" s="70"/>
    <row r="713" ht="15.75" customHeight="1" s="70"/>
    <row r="714" ht="15.75" customHeight="1" s="70"/>
    <row r="715" ht="15.75" customHeight="1" s="70"/>
    <row r="716" ht="15.75" customHeight="1" s="70"/>
    <row r="717" ht="15.75" customHeight="1" s="70"/>
    <row r="718" ht="15.75" customHeight="1" s="70"/>
    <row r="719" ht="15.75" customHeight="1" s="70"/>
    <row r="720" ht="15.75" customHeight="1" s="70"/>
    <row r="721" ht="15.75" customHeight="1" s="70"/>
    <row r="722" ht="15.75" customHeight="1" s="70"/>
    <row r="723" ht="15.75" customHeight="1" s="70"/>
    <row r="724" ht="15.75" customHeight="1" s="70"/>
    <row r="725" ht="15.75" customHeight="1" s="70"/>
    <row r="726" ht="15.75" customHeight="1" s="70"/>
    <row r="727" ht="15.75" customHeight="1" s="70"/>
    <row r="728" ht="15.75" customHeight="1" s="70"/>
    <row r="729" ht="15.75" customHeight="1" s="70"/>
    <row r="730" ht="15.75" customHeight="1" s="70"/>
    <row r="731" ht="15.75" customHeight="1" s="70"/>
    <row r="732" ht="15.75" customHeight="1" s="70"/>
    <row r="733" ht="15.75" customHeight="1" s="70"/>
    <row r="734" ht="15.75" customHeight="1" s="70"/>
    <row r="735" ht="15.75" customHeight="1" s="70"/>
    <row r="736" ht="15.75" customHeight="1" s="70"/>
    <row r="737" ht="15.75" customHeight="1" s="70"/>
    <row r="738" ht="15.75" customHeight="1" s="70"/>
    <row r="739" ht="15.75" customHeight="1" s="70"/>
    <row r="740" ht="15.75" customHeight="1" s="70"/>
    <row r="741" ht="15.75" customHeight="1" s="70"/>
    <row r="742" ht="15.75" customHeight="1" s="70"/>
    <row r="743" ht="15.75" customHeight="1" s="70"/>
    <row r="744" ht="15.75" customHeight="1" s="70"/>
    <row r="745" ht="15.75" customHeight="1" s="70"/>
    <row r="746" ht="15.75" customHeight="1" s="70"/>
    <row r="747" ht="15.75" customHeight="1" s="70"/>
    <row r="748" ht="15.75" customHeight="1" s="70"/>
    <row r="749" ht="15.75" customHeight="1" s="70"/>
    <row r="750" ht="15.75" customHeight="1" s="70"/>
    <row r="751" ht="15.75" customHeight="1" s="70"/>
    <row r="752" ht="15.75" customHeight="1" s="70"/>
    <row r="753" ht="15.75" customHeight="1" s="70"/>
    <row r="754" ht="15.75" customHeight="1" s="70"/>
    <row r="755" ht="15.75" customHeight="1" s="70"/>
    <row r="756" ht="15.75" customHeight="1" s="70"/>
    <row r="757" ht="15.75" customHeight="1" s="70"/>
    <row r="758" ht="15.75" customHeight="1" s="70"/>
    <row r="759" ht="15.75" customHeight="1" s="70"/>
    <row r="760" ht="15.75" customHeight="1" s="70"/>
    <row r="761" ht="15.75" customHeight="1" s="70"/>
    <row r="762" ht="15.75" customHeight="1" s="70"/>
    <row r="763" ht="15.75" customHeight="1" s="70"/>
    <row r="764" ht="15.75" customHeight="1" s="70"/>
    <row r="765" ht="15.75" customHeight="1" s="70"/>
    <row r="766" ht="15.75" customHeight="1" s="70"/>
    <row r="767" ht="15.75" customHeight="1" s="70"/>
    <row r="768" ht="15.75" customHeight="1" s="70"/>
    <row r="769" ht="15.75" customHeight="1" s="70"/>
    <row r="770" ht="15.75" customHeight="1" s="70"/>
    <row r="771" ht="15.75" customHeight="1" s="70"/>
    <row r="772" ht="15.75" customHeight="1" s="70"/>
    <row r="773" ht="15.75" customHeight="1" s="70"/>
    <row r="774" ht="15.75" customHeight="1" s="70"/>
    <row r="775" ht="15.75" customHeight="1" s="70"/>
    <row r="776" ht="15.75" customHeight="1" s="70"/>
    <row r="777" ht="15.75" customHeight="1" s="70"/>
    <row r="778" ht="15.75" customHeight="1" s="70"/>
    <row r="779" ht="15.75" customHeight="1" s="70"/>
    <row r="780" ht="15.75" customHeight="1" s="70"/>
    <row r="781" ht="15.75" customHeight="1" s="70"/>
    <row r="782" ht="15.75" customHeight="1" s="70"/>
    <row r="783" ht="15.75" customHeight="1" s="70"/>
    <row r="784" ht="15.75" customHeight="1" s="70"/>
    <row r="785" ht="15.75" customHeight="1" s="70"/>
    <row r="786" ht="15.75" customHeight="1" s="70"/>
    <row r="787" ht="15.75" customHeight="1" s="70"/>
    <row r="788" ht="15.75" customHeight="1" s="70"/>
    <row r="789" ht="15.75" customHeight="1" s="70"/>
    <row r="790" ht="15.75" customHeight="1" s="70"/>
    <row r="791" ht="15.75" customHeight="1" s="70"/>
    <row r="792" ht="15.75" customHeight="1" s="70"/>
    <row r="793" ht="15.75" customHeight="1" s="70"/>
    <row r="794" ht="15.75" customHeight="1" s="70"/>
    <row r="795" ht="15.75" customHeight="1" s="70"/>
    <row r="796" ht="15.75" customHeight="1" s="70"/>
    <row r="797" ht="15.75" customHeight="1" s="70"/>
    <row r="798" ht="15.75" customHeight="1" s="70"/>
    <row r="799" ht="15.75" customHeight="1" s="70"/>
    <row r="800" ht="15.75" customHeight="1" s="70"/>
    <row r="801" ht="15.75" customHeight="1" s="70"/>
    <row r="802" ht="15.75" customHeight="1" s="70"/>
    <row r="803" ht="15.75" customHeight="1" s="70"/>
    <row r="804" ht="15.75" customHeight="1" s="70"/>
    <row r="805" ht="15.75" customHeight="1" s="70"/>
    <row r="806" ht="15.75" customHeight="1" s="70"/>
    <row r="807" ht="15.75" customHeight="1" s="70"/>
    <row r="808" ht="15.75" customHeight="1" s="70"/>
    <row r="809" ht="15.75" customHeight="1" s="70"/>
    <row r="810" ht="15.75" customHeight="1" s="70"/>
    <row r="811" ht="15.75" customHeight="1" s="70"/>
    <row r="812" ht="15.75" customHeight="1" s="70"/>
    <row r="813" ht="15.75" customHeight="1" s="70"/>
    <row r="814" ht="15.75" customHeight="1" s="70"/>
    <row r="815" ht="15.75" customHeight="1" s="70"/>
    <row r="816" ht="15.75" customHeight="1" s="70"/>
    <row r="817" ht="15.75" customHeight="1" s="70"/>
    <row r="818" ht="15.75" customHeight="1" s="70"/>
    <row r="819" ht="15.75" customHeight="1" s="70"/>
    <row r="820" ht="15.75" customHeight="1" s="70"/>
    <row r="821" ht="15.75" customHeight="1" s="70"/>
    <row r="822" ht="15.75" customHeight="1" s="70"/>
    <row r="823" ht="15.75" customHeight="1" s="70"/>
    <row r="824" ht="15.75" customHeight="1" s="70"/>
    <row r="825" ht="15.75" customHeight="1" s="70"/>
    <row r="826" ht="15.75" customHeight="1" s="70"/>
    <row r="827" ht="15.75" customHeight="1" s="70"/>
    <row r="828" ht="15.75" customHeight="1" s="70"/>
    <row r="829" ht="15.75" customHeight="1" s="70"/>
    <row r="830" ht="15.75" customHeight="1" s="70"/>
    <row r="831" ht="15.75" customHeight="1" s="70"/>
    <row r="832" ht="15.75" customHeight="1" s="70"/>
    <row r="833" ht="15.75" customHeight="1" s="70"/>
    <row r="834" ht="15.75" customHeight="1" s="70"/>
    <row r="835" ht="15.75" customHeight="1" s="70"/>
    <row r="836" ht="15.75" customHeight="1" s="70"/>
    <row r="837" ht="15.75" customHeight="1" s="70"/>
    <row r="838" ht="15.75" customHeight="1" s="70"/>
    <row r="839" ht="15.75" customHeight="1" s="70"/>
    <row r="840" ht="15.75" customHeight="1" s="70"/>
    <row r="841" ht="15.75" customHeight="1" s="70"/>
    <row r="842" ht="15.75" customHeight="1" s="70"/>
    <row r="843" ht="15.75" customHeight="1" s="70"/>
    <row r="844" ht="15.75" customHeight="1" s="70"/>
    <row r="845" ht="15.75" customHeight="1" s="70"/>
    <row r="846" ht="15.75" customHeight="1" s="70"/>
    <row r="847" ht="15.75" customHeight="1" s="70"/>
    <row r="848" ht="15.75" customHeight="1" s="70"/>
    <row r="849" ht="15.75" customHeight="1" s="70"/>
    <row r="850" ht="15.75" customHeight="1" s="70"/>
    <row r="851" ht="15.75" customHeight="1" s="70"/>
    <row r="852" ht="15.75" customHeight="1" s="70"/>
    <row r="853" ht="15.75" customHeight="1" s="70"/>
    <row r="854" ht="15.75" customHeight="1" s="70"/>
    <row r="855" ht="15.75" customHeight="1" s="70"/>
    <row r="856" ht="15.75" customHeight="1" s="70"/>
    <row r="857" ht="15.75" customHeight="1" s="70"/>
    <row r="858" ht="15.75" customHeight="1" s="70"/>
    <row r="859" ht="15.75" customHeight="1" s="70"/>
    <row r="860" ht="15.75" customHeight="1" s="70"/>
    <row r="861" ht="15.75" customHeight="1" s="70"/>
    <row r="862" ht="15.75" customHeight="1" s="70"/>
    <row r="863" ht="15.75" customHeight="1" s="70"/>
    <row r="864" ht="15.75" customHeight="1" s="70"/>
    <row r="865" ht="15.75" customHeight="1" s="70"/>
    <row r="866" ht="15.75" customHeight="1" s="70"/>
    <row r="867" ht="15.75" customHeight="1" s="70"/>
    <row r="868" ht="15.75" customHeight="1" s="70"/>
    <row r="869" ht="15.75" customHeight="1" s="70"/>
    <row r="870" ht="15.75" customHeight="1" s="70"/>
    <row r="871" ht="15.75" customHeight="1" s="70"/>
    <row r="872" ht="15.75" customHeight="1" s="70"/>
    <row r="873" ht="15.75" customHeight="1" s="70"/>
    <row r="874" ht="15.75" customHeight="1" s="70"/>
    <row r="875" ht="15.75" customHeight="1" s="70"/>
    <row r="876" ht="15.75" customHeight="1" s="70"/>
    <row r="877" ht="15.75" customHeight="1" s="70"/>
    <row r="878" ht="15.75" customHeight="1" s="70"/>
    <row r="879" ht="15.75" customHeight="1" s="70"/>
    <row r="880" ht="15.75" customHeight="1" s="70"/>
    <row r="881" ht="15.75" customHeight="1" s="70"/>
    <row r="882" ht="15.75" customHeight="1" s="70"/>
    <row r="883" ht="15.75" customHeight="1" s="70"/>
    <row r="884" ht="15.75" customHeight="1" s="70"/>
    <row r="885" ht="15.75" customHeight="1" s="70"/>
    <row r="886" ht="15.75" customHeight="1" s="70"/>
    <row r="887" ht="15.75" customHeight="1" s="70"/>
    <row r="888" ht="15.75" customHeight="1" s="70"/>
    <row r="889" ht="15.75" customHeight="1" s="70"/>
    <row r="890" ht="15.75" customHeight="1" s="70"/>
    <row r="891" ht="15.75" customHeight="1" s="70"/>
    <row r="892" ht="15.75" customHeight="1" s="70"/>
    <row r="893" ht="15.75" customHeight="1" s="70"/>
    <row r="894" ht="15.75" customHeight="1" s="70"/>
    <row r="895" ht="15.75" customHeight="1" s="70"/>
    <row r="896" ht="15.75" customHeight="1" s="70"/>
    <row r="897" ht="15.75" customHeight="1" s="70"/>
    <row r="898" ht="15.75" customHeight="1" s="70"/>
    <row r="899" ht="15.75" customHeight="1" s="70"/>
    <row r="900" ht="15.75" customHeight="1" s="70"/>
    <row r="901" ht="15.75" customHeight="1" s="70"/>
    <row r="902" ht="15.75" customHeight="1" s="70"/>
    <row r="903" ht="15.75" customHeight="1" s="70"/>
    <row r="904" ht="15.75" customHeight="1" s="70"/>
    <row r="905" ht="15.75" customHeight="1" s="70"/>
    <row r="906" ht="15.75" customHeight="1" s="70"/>
    <row r="907" ht="15.75" customHeight="1" s="70"/>
    <row r="908" ht="15.75" customHeight="1" s="70"/>
    <row r="909" ht="15.75" customHeight="1" s="70"/>
    <row r="910" ht="15.75" customHeight="1" s="70"/>
    <row r="911" ht="15.75" customHeight="1" s="70"/>
    <row r="912" ht="15.75" customHeight="1" s="70"/>
    <row r="913" ht="15.75" customHeight="1" s="70"/>
    <row r="914" ht="15.75" customHeight="1" s="70"/>
    <row r="915" ht="15.75" customHeight="1" s="70"/>
    <row r="916" ht="15.75" customHeight="1" s="70"/>
    <row r="917" ht="15.75" customHeight="1" s="70"/>
    <row r="918" ht="15.75" customHeight="1" s="70"/>
    <row r="919" ht="15.75" customHeight="1" s="70"/>
    <row r="920" ht="15.75" customHeight="1" s="70"/>
    <row r="921" ht="15.75" customHeight="1" s="70"/>
    <row r="922" ht="15.75" customHeight="1" s="70"/>
    <row r="923" ht="15.75" customHeight="1" s="70"/>
    <row r="924" ht="15.75" customHeight="1" s="70"/>
    <row r="925" ht="15.75" customHeight="1" s="70"/>
    <row r="926" ht="15.75" customHeight="1" s="70"/>
    <row r="927" ht="15.75" customHeight="1" s="70"/>
    <row r="928" ht="15.75" customHeight="1" s="70"/>
    <row r="929" ht="15.75" customHeight="1" s="70"/>
    <row r="930" ht="15.75" customHeight="1" s="70"/>
    <row r="931" ht="15.75" customHeight="1" s="70"/>
    <row r="932" ht="15.75" customHeight="1" s="70"/>
    <row r="933" ht="15.75" customHeight="1" s="70"/>
    <row r="934" ht="15.75" customHeight="1" s="70"/>
    <row r="935" ht="15.75" customHeight="1" s="70"/>
    <row r="936" ht="15.75" customHeight="1" s="70"/>
    <row r="937" ht="15.75" customHeight="1" s="70"/>
    <row r="938" ht="15.75" customHeight="1" s="70"/>
    <row r="939" ht="15.75" customHeight="1" s="70"/>
    <row r="940" ht="15.75" customHeight="1" s="70"/>
    <row r="941" ht="15.75" customHeight="1" s="70"/>
    <row r="942" ht="15.75" customHeight="1" s="70"/>
    <row r="943" ht="15.75" customHeight="1" s="70"/>
    <row r="944" ht="15.75" customHeight="1" s="70"/>
    <row r="945" ht="15.75" customHeight="1" s="70"/>
    <row r="946" ht="15.75" customHeight="1" s="70"/>
    <row r="947" ht="15.75" customHeight="1" s="70"/>
    <row r="948" ht="15.75" customHeight="1" s="70"/>
    <row r="949" ht="15.75" customHeight="1" s="70"/>
    <row r="950" ht="15.75" customHeight="1" s="70"/>
    <row r="951" ht="15.75" customHeight="1" s="70"/>
    <row r="952" ht="15.75" customHeight="1" s="70"/>
    <row r="953" ht="15.75" customHeight="1" s="70"/>
    <row r="954" ht="15.75" customHeight="1" s="70"/>
    <row r="955" ht="15.75" customHeight="1" s="70"/>
    <row r="956" ht="15.75" customHeight="1" s="70"/>
    <row r="957" ht="15.75" customHeight="1" s="70"/>
    <row r="958" ht="15.75" customHeight="1" s="70"/>
    <row r="959" ht="15.75" customHeight="1" s="70"/>
    <row r="960" ht="15.75" customHeight="1" s="70"/>
    <row r="961" ht="15.75" customHeight="1" s="70"/>
    <row r="962" ht="15.75" customHeight="1" s="70"/>
    <row r="963" ht="15.75" customHeight="1" s="70"/>
    <row r="964" ht="15.75" customHeight="1" s="70"/>
    <row r="965" ht="15.75" customHeight="1" s="70"/>
    <row r="966" ht="15.75" customHeight="1" s="70"/>
    <row r="967" ht="15.75" customHeight="1" s="70"/>
    <row r="968" ht="15.75" customHeight="1" s="70"/>
    <row r="969" ht="15.75" customHeight="1" s="70"/>
    <row r="970" ht="15.75" customHeight="1" s="70"/>
    <row r="971" ht="15.75" customHeight="1" s="70"/>
    <row r="972" ht="15.75" customHeight="1" s="70"/>
    <row r="973" ht="15.75" customHeight="1" s="70"/>
    <row r="974" ht="15.75" customHeight="1" s="70"/>
    <row r="975" ht="15.75" customHeight="1" s="70"/>
    <row r="976" ht="15.75" customHeight="1" s="70"/>
    <row r="977" ht="15.75" customHeight="1" s="70"/>
    <row r="978" ht="15.75" customHeight="1" s="70"/>
    <row r="979" ht="15.75" customHeight="1" s="70"/>
    <row r="980" ht="15.75" customHeight="1" s="70"/>
    <row r="981" ht="15.75" customHeight="1" s="70"/>
    <row r="982" ht="15.75" customHeight="1" s="70"/>
    <row r="983" ht="15.75" customHeight="1" s="70"/>
    <row r="984" ht="15.75" customHeight="1" s="70"/>
    <row r="985" ht="15.75" customHeight="1" s="70"/>
    <row r="986" ht="15.75" customHeight="1" s="70"/>
    <row r="987" ht="15.75" customHeight="1" s="70"/>
    <row r="988" ht="15.75" customHeight="1" s="70"/>
    <row r="989" ht="15.75" customHeight="1" s="70"/>
    <row r="990" ht="15.75" customHeight="1" s="70"/>
    <row r="991" ht="15.75" customHeight="1" s="70"/>
    <row r="992" ht="15.75" customHeight="1" s="70"/>
    <row r="993" ht="15.75" customHeight="1" s="70"/>
  </sheetData>
  <mergeCells count="332">
    <mergeCell ref="A64:B64"/>
    <mergeCell ref="A15:B15"/>
    <mergeCell ref="A51:B51"/>
    <mergeCell ref="J59:K59"/>
    <mergeCell ref="H9:I9"/>
    <mergeCell ref="J9:K9"/>
    <mergeCell ref="C62:F62"/>
    <mergeCell ref="C24:F24"/>
    <mergeCell ref="C64:F64"/>
    <mergeCell ref="A33:B33"/>
    <mergeCell ref="C26:F26"/>
    <mergeCell ref="J31:K31"/>
    <mergeCell ref="A35:B35"/>
    <mergeCell ref="A62:B62"/>
    <mergeCell ref="H62:I62"/>
    <mergeCell ref="J62:K62"/>
    <mergeCell ref="A28:B28"/>
    <mergeCell ref="A39:B39"/>
    <mergeCell ref="J64:K64"/>
    <mergeCell ref="A30:B30"/>
    <mergeCell ref="C17:F17"/>
    <mergeCell ref="A59:B59"/>
    <mergeCell ref="J57:K57"/>
    <mergeCell ref="C19:F19"/>
    <mergeCell ref="A61:B61"/>
    <mergeCell ref="D2:E2"/>
    <mergeCell ref="C83:F83"/>
    <mergeCell ref="C14:F14"/>
    <mergeCell ref="H17:I17"/>
    <mergeCell ref="H11:I11"/>
    <mergeCell ref="J11:K11"/>
    <mergeCell ref="H19:I19"/>
    <mergeCell ref="H75:I75"/>
    <mergeCell ref="J75:K75"/>
    <mergeCell ref="H12:I12"/>
    <mergeCell ref="J12:K12"/>
    <mergeCell ref="A52:B52"/>
    <mergeCell ref="H48:I48"/>
    <mergeCell ref="H14:I14"/>
    <mergeCell ref="A34:B34"/>
    <mergeCell ref="C76:F76"/>
    <mergeCell ref="A83:B83"/>
    <mergeCell ref="J81:K81"/>
    <mergeCell ref="A49:B49"/>
    <mergeCell ref="H43:I43"/>
    <mergeCell ref="A36:B36"/>
    <mergeCell ref="A78:B78"/>
    <mergeCell ref="A65:B65"/>
    <mergeCell ref="J65:K65"/>
    <mergeCell ref="A80:B80"/>
    <mergeCell ref="A55:B55"/>
    <mergeCell ref="C45:F45"/>
    <mergeCell ref="C20:F20"/>
    <mergeCell ref="J25:K25"/>
    <mergeCell ref="C47:F47"/>
    <mergeCell ref="D3:E3"/>
    <mergeCell ref="C84:F84"/>
    <mergeCell ref="C22:F22"/>
    <mergeCell ref="C51:F51"/>
    <mergeCell ref="A24:B24"/>
    <mergeCell ref="H20:I20"/>
    <mergeCell ref="A60:B60"/>
    <mergeCell ref="J14:K14"/>
    <mergeCell ref="C38:F38"/>
    <mergeCell ref="J13:K13"/>
    <mergeCell ref="J84:K84"/>
    <mergeCell ref="J78:K78"/>
    <mergeCell ref="H64:I64"/>
    <mergeCell ref="J15:K15"/>
    <mergeCell ref="A84:B84"/>
    <mergeCell ref="J80:K80"/>
    <mergeCell ref="H51:I51"/>
    <mergeCell ref="C33:F33"/>
    <mergeCell ref="J55:K55"/>
    <mergeCell ref="A50:B50"/>
    <mergeCell ref="J79:K79"/>
    <mergeCell ref="C35:F35"/>
    <mergeCell ref="A81:B81"/>
    <mergeCell ref="H33:I33"/>
    <mergeCell ref="C59:F59"/>
    <mergeCell ref="J33:K33"/>
    <mergeCell ref="H8:I8"/>
    <mergeCell ref="J8:K8"/>
    <mergeCell ref="H35:I35"/>
    <mergeCell ref="C61:F61"/>
    <mergeCell ref="H10:I10"/>
    <mergeCell ref="J10:K10"/>
    <mergeCell ref="C72:F72"/>
    <mergeCell ref="J28:K28"/>
    <mergeCell ref="A70:B70"/>
    <mergeCell ref="H39:I39"/>
    <mergeCell ref="J68:K68"/>
    <mergeCell ref="A7:B7"/>
    <mergeCell ref="L86:M87"/>
    <mergeCell ref="A74:B74"/>
    <mergeCell ref="A76:B76"/>
    <mergeCell ref="H72:I72"/>
    <mergeCell ref="C54:F54"/>
    <mergeCell ref="C41:F41"/>
    <mergeCell ref="H65:I65"/>
    <mergeCell ref="J21:K21"/>
    <mergeCell ref="C56:F56"/>
    <mergeCell ref="C43:F43"/>
    <mergeCell ref="H23:I23"/>
    <mergeCell ref="J23:K23"/>
    <mergeCell ref="C36:F36"/>
    <mergeCell ref="H54:I54"/>
    <mergeCell ref="A45:B45"/>
    <mergeCell ref="H41:I41"/>
    <mergeCell ref="C67:F67"/>
    <mergeCell ref="F2:F3"/>
    <mergeCell ref="H56:I56"/>
    <mergeCell ref="H83:I83"/>
    <mergeCell ref="H34:I34"/>
    <mergeCell ref="J34:K34"/>
    <mergeCell ref="C69:F69"/>
    <mergeCell ref="A46:B46"/>
    <mergeCell ref="H49:I49"/>
    <mergeCell ref="C86:G87"/>
    <mergeCell ref="J49:K49"/>
    <mergeCell ref="H85:I85"/>
    <mergeCell ref="H36:I36"/>
    <mergeCell ref="J36:K36"/>
    <mergeCell ref="A26:B26"/>
    <mergeCell ref="A71:B71"/>
    <mergeCell ref="H86:K87"/>
    <mergeCell ref="A8:B8"/>
    <mergeCell ref="H80:I80"/>
    <mergeCell ref="A10:B10"/>
    <mergeCell ref="A77:B77"/>
    <mergeCell ref="J29:K29"/>
    <mergeCell ref="C82:F82"/>
    <mergeCell ref="H31:I31"/>
    <mergeCell ref="H58:I58"/>
    <mergeCell ref="C57:F57"/>
    <mergeCell ref="H73:I73"/>
    <mergeCell ref="J24:K24"/>
    <mergeCell ref="H60:I60"/>
    <mergeCell ref="C58:F58"/>
    <mergeCell ref="J26:K26"/>
    <mergeCell ref="J1:M3"/>
    <mergeCell ref="A21:B21"/>
    <mergeCell ref="A57:B57"/>
    <mergeCell ref="A32:B32"/>
    <mergeCell ref="H57:I57"/>
    <mergeCell ref="H84:I84"/>
    <mergeCell ref="H22:I22"/>
    <mergeCell ref="A23:B23"/>
    <mergeCell ref="J50:K50"/>
    <mergeCell ref="H42:I42"/>
    <mergeCell ref="C12:F12"/>
    <mergeCell ref="J42:K42"/>
    <mergeCell ref="J52:K52"/>
    <mergeCell ref="J39:K39"/>
    <mergeCell ref="C70:F70"/>
    <mergeCell ref="J44:K44"/>
    <mergeCell ref="J37:K37"/>
    <mergeCell ref="A16:B16"/>
    <mergeCell ref="A18:B18"/>
    <mergeCell ref="H70:I70"/>
    <mergeCell ref="J70:K70"/>
    <mergeCell ref="S5:U5"/>
    <mergeCell ref="H32:I32"/>
    <mergeCell ref="H7:I7"/>
    <mergeCell ref="J32:K32"/>
    <mergeCell ref="J7:K7"/>
    <mergeCell ref="J63:K63"/>
    <mergeCell ref="A47:B47"/>
    <mergeCell ref="C25:F25"/>
    <mergeCell ref="C85:F85"/>
    <mergeCell ref="H47:I47"/>
    <mergeCell ref="J47:K47"/>
    <mergeCell ref="A29:B29"/>
    <mergeCell ref="H76:I76"/>
    <mergeCell ref="J76:K76"/>
    <mergeCell ref="A44:B44"/>
    <mergeCell ref="A31:B31"/>
    <mergeCell ref="A58:B58"/>
    <mergeCell ref="A73:B73"/>
    <mergeCell ref="J60:K60"/>
    <mergeCell ref="C13:F13"/>
    <mergeCell ref="C78:F78"/>
    <mergeCell ref="J53:K53"/>
    <mergeCell ref="C15:F15"/>
    <mergeCell ref="J45:K45"/>
    <mergeCell ref="C79:F79"/>
    <mergeCell ref="C73:F73"/>
    <mergeCell ref="A42:B42"/>
    <mergeCell ref="A17:B17"/>
    <mergeCell ref="C10:F10"/>
    <mergeCell ref="H13:I13"/>
    <mergeCell ref="A53:B53"/>
    <mergeCell ref="G2:I2"/>
    <mergeCell ref="A19:B19"/>
    <mergeCell ref="A68:B68"/>
    <mergeCell ref="H15:I15"/>
    <mergeCell ref="H71:I71"/>
    <mergeCell ref="J71:K71"/>
    <mergeCell ref="J58:K58"/>
    <mergeCell ref="A48:B48"/>
    <mergeCell ref="J73:K73"/>
    <mergeCell ref="A79:B79"/>
    <mergeCell ref="C28:F28"/>
    <mergeCell ref="H25:I25"/>
    <mergeCell ref="J77:K77"/>
    <mergeCell ref="A37:B37"/>
    <mergeCell ref="C30:F30"/>
    <mergeCell ref="C4:M6"/>
    <mergeCell ref="H28:I28"/>
    <mergeCell ref="A1:B6"/>
    <mergeCell ref="J46:K46"/>
    <mergeCell ref="A63:B63"/>
    <mergeCell ref="J61:K61"/>
    <mergeCell ref="J48:K48"/>
    <mergeCell ref="A86:B87"/>
    <mergeCell ref="D1:E1"/>
    <mergeCell ref="G3:I3"/>
    <mergeCell ref="A69:B69"/>
    <mergeCell ref="C18:F18"/>
    <mergeCell ref="H21:I21"/>
    <mergeCell ref="C34:F34"/>
    <mergeCell ref="J74:K74"/>
    <mergeCell ref="H16:I16"/>
    <mergeCell ref="J16:K16"/>
    <mergeCell ref="C29:F29"/>
    <mergeCell ref="C65:F65"/>
    <mergeCell ref="C44:F44"/>
    <mergeCell ref="A38:B38"/>
    <mergeCell ref="C31:F31"/>
    <mergeCell ref="C80:F80"/>
    <mergeCell ref="A40:B40"/>
    <mergeCell ref="A67:B67"/>
    <mergeCell ref="C60:F60"/>
    <mergeCell ref="H30:I30"/>
    <mergeCell ref="H67:I67"/>
    <mergeCell ref="J67:K67"/>
    <mergeCell ref="A82:B82"/>
    <mergeCell ref="H78:I78"/>
    <mergeCell ref="H29:I29"/>
    <mergeCell ref="H44:I44"/>
    <mergeCell ref="J69:K69"/>
    <mergeCell ref="C49:F49"/>
    <mergeCell ref="A66:B66"/>
    <mergeCell ref="C42:F42"/>
    <mergeCell ref="C55:F55"/>
    <mergeCell ref="C75:F75"/>
    <mergeCell ref="A72:B72"/>
    <mergeCell ref="H24:I24"/>
    <mergeCell ref="H18:I18"/>
    <mergeCell ref="J18:K18"/>
    <mergeCell ref="J17:K17"/>
    <mergeCell ref="H26:I26"/>
    <mergeCell ref="H82:I82"/>
    <mergeCell ref="C52:F52"/>
    <mergeCell ref="H53:I53"/>
    <mergeCell ref="J82:K82"/>
    <mergeCell ref="C39:F39"/>
    <mergeCell ref="J19:K19"/>
    <mergeCell ref="H55:I55"/>
    <mergeCell ref="C81:F81"/>
    <mergeCell ref="C32:F32"/>
    <mergeCell ref="C37:F37"/>
    <mergeCell ref="A54:B54"/>
    <mergeCell ref="A41:B41"/>
    <mergeCell ref="A56:B56"/>
    <mergeCell ref="A27:B27"/>
    <mergeCell ref="H52:I52"/>
    <mergeCell ref="G1:I1"/>
    <mergeCell ref="H79:I79"/>
    <mergeCell ref="H45:I45"/>
    <mergeCell ref="A85:B85"/>
    <mergeCell ref="H81:I81"/>
    <mergeCell ref="H37:I37"/>
    <mergeCell ref="C63:F63"/>
    <mergeCell ref="C50:F50"/>
    <mergeCell ref="A22:B22"/>
    <mergeCell ref="C27:F27"/>
    <mergeCell ref="A9:B9"/>
    <mergeCell ref="A11:B11"/>
    <mergeCell ref="H63:I63"/>
    <mergeCell ref="H50:I50"/>
    <mergeCell ref="H74:I74"/>
    <mergeCell ref="H68:I68"/>
    <mergeCell ref="J27:K27"/>
    <mergeCell ref="J83:K83"/>
    <mergeCell ref="H69:I69"/>
    <mergeCell ref="J20:K20"/>
    <mergeCell ref="J85:K85"/>
    <mergeCell ref="J22:K22"/>
    <mergeCell ref="C40:F40"/>
    <mergeCell ref="J51:K51"/>
    <mergeCell ref="C71:F71"/>
    <mergeCell ref="H38:I38"/>
    <mergeCell ref="C8:F8"/>
    <mergeCell ref="J38:K38"/>
    <mergeCell ref="H40:I40"/>
    <mergeCell ref="C66:F66"/>
    <mergeCell ref="J40:K40"/>
    <mergeCell ref="C53:F53"/>
    <mergeCell ref="C77:F77"/>
    <mergeCell ref="A75:B75"/>
    <mergeCell ref="C68:F68"/>
    <mergeCell ref="A12:B12"/>
    <mergeCell ref="J35:K35"/>
    <mergeCell ref="A14:B14"/>
    <mergeCell ref="H66:I66"/>
    <mergeCell ref="J66:K66"/>
    <mergeCell ref="H77:I77"/>
    <mergeCell ref="C7:D7"/>
    <mergeCell ref="E7:F7"/>
    <mergeCell ref="A43:B43"/>
    <mergeCell ref="C46:F46"/>
    <mergeCell ref="C21:F21"/>
    <mergeCell ref="C48:F48"/>
    <mergeCell ref="C23:F23"/>
    <mergeCell ref="J72:K72"/>
    <mergeCell ref="J30:K30"/>
    <mergeCell ref="H59:I59"/>
    <mergeCell ref="A25:B25"/>
    <mergeCell ref="H46:I46"/>
    <mergeCell ref="H61:I61"/>
    <mergeCell ref="C74:F74"/>
    <mergeCell ref="J54:K54"/>
    <mergeCell ref="J41:K41"/>
    <mergeCell ref="C16:F16"/>
    <mergeCell ref="H27:I27"/>
    <mergeCell ref="J56:K56"/>
    <mergeCell ref="C9:F9"/>
    <mergeCell ref="A20:B20"/>
    <mergeCell ref="J43:K43"/>
    <mergeCell ref="A13:B13"/>
    <mergeCell ref="C11:F11"/>
  </mergeCells>
  <dataValidations count="3">
    <dataValidation sqref="J1" showDropDown="0" showInputMessage="0" showErrorMessage="1" allowBlank="1" type="list">
      <formula1>"PRESUPUESTO,NOTA DE PEDIDO,REMITO,RECIBO"</formula1>
    </dataValidation>
    <dataValidation sqref="C8:C85" showDropDown="0" showInputMessage="0" showErrorMessage="0" allowBlank="1" errorTitle="Producto no encontrado" error="Elegí un producto de la lista." promptTitle="PRODUCTO" prompt="Elegí el producto" type="list">
      <formula1>PRECIOS!$A$2:$A$88</formula1>
    </dataValidation>
    <dataValidation sqref="H8:H85" showDropDown="0" showInputMessage="0" showErrorMessage="0" allowBlank="1" errorTitle="Largo invalido" error="Escribi el largo en metros con COMA decimal, por ejemplo 4,2 (con punto Excel lo lee como fecha). Entre 0,5 y 50 m." promptTitle="LARGO REAL" prompt="Largo que pide el cliente, en metros: 4,2" type="decimal" operator="between">
      <formula1>0.5</formula1>
      <formula2>50</formula2>
    </dataValidation>
  </dataValidations>
  <printOptions horizontalCentered="1"/>
  <pageMargins left="0.25" right="0.25" top="0.75" bottom="0.75" header="0" footer="0"/>
  <pageSetup orientation="portrait" paperSize="9" pageOrder="overThenDown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70" min="1" max="1"/>
    <col width="16" customWidth="1" style="70" min="2" max="2"/>
    <col width="14" customWidth="1" style="70" min="3" max="3"/>
    <col width="18" customWidth="1" style="70" min="4" max="4"/>
    <col width="14" customWidth="1" style="70" min="5" max="5"/>
    <col width="20" customWidth="1" style="70" min="7" max="7"/>
  </cols>
  <sheetData>
    <row r="1">
      <c r="A1" s="101" t="inlineStr">
        <is>
          <t>PRODUCTO</t>
        </is>
      </c>
      <c r="B1" s="101" t="inlineStr">
        <is>
          <t>UNIDAD</t>
        </is>
      </c>
      <c r="C1" s="101" t="inlineStr">
        <is>
          <t>PRECIO</t>
        </is>
      </c>
      <c r="D1" s="101" t="inlineStr">
        <is>
          <t>MULTIPLICA LARGO</t>
        </is>
      </c>
      <c r="E1" s="101" t="inlineStr">
        <is>
          <t>PRECIO OK</t>
        </is>
      </c>
      <c r="G1" s="102" t="inlineStr">
        <is>
          <t>PASO DE CORTE (m)</t>
        </is>
      </c>
      <c r="H1" s="103" t="n">
        <v>0.5</v>
      </c>
    </row>
    <row r="2">
      <c r="A2" s="104" t="inlineStr">
        <is>
          <t>ROLLIZO 13-15CM</t>
        </is>
      </c>
      <c r="B2" s="104" t="inlineStr">
        <is>
          <t>METRO LINEAL</t>
        </is>
      </c>
      <c r="C2" s="105" t="n">
        <v>5000</v>
      </c>
      <c r="D2" s="106" t="inlineStr">
        <is>
          <t>SI</t>
        </is>
      </c>
      <c r="E2" s="105">
        <f>IF($C2="","SIN PRECIO",$C2)</f>
        <v/>
      </c>
    </row>
    <row r="3">
      <c r="A3" s="104" t="inlineStr">
        <is>
          <t>POSTE 16-18CM</t>
        </is>
      </c>
      <c r="B3" s="104" t="inlineStr">
        <is>
          <t>METRO LINEAL</t>
        </is>
      </c>
      <c r="C3" s="105" t="n">
        <v>6500</v>
      </c>
      <c r="D3" s="106" t="inlineStr">
        <is>
          <t>SI</t>
        </is>
      </c>
      <c r="E3" s="105">
        <f>IF($C3="","SIN PRECIO",$C3)</f>
        <v/>
      </c>
    </row>
    <row r="4">
      <c r="A4" s="104" t="inlineStr">
        <is>
          <t>VIGA 20-22 CM</t>
        </is>
      </c>
      <c r="B4" s="104" t="inlineStr">
        <is>
          <t>METRO LINEAL</t>
        </is>
      </c>
      <c r="C4" s="105" t="n">
        <v>7500</v>
      </c>
      <c r="D4" s="106" t="inlineStr">
        <is>
          <t>SI</t>
        </is>
      </c>
      <c r="E4" s="105">
        <f>IF($C4="","SIN PRECIO",$C4)</f>
        <v/>
      </c>
    </row>
    <row r="5">
      <c r="A5" s="104" t="inlineStr">
        <is>
          <t>VIGA 23-25CM</t>
        </is>
      </c>
      <c r="B5" s="104" t="inlineStr">
        <is>
          <t>METRO LINEAL</t>
        </is>
      </c>
      <c r="C5" s="105" t="n">
        <v>8500</v>
      </c>
      <c r="D5" s="106" t="inlineStr">
        <is>
          <t>SI</t>
        </is>
      </c>
      <c r="E5" s="105">
        <f>IF($C5="","SIN PRECIO",$C5)</f>
        <v/>
      </c>
    </row>
    <row r="6">
      <c r="A6" s="104" t="inlineStr">
        <is>
          <t>VIGA 25-30CM</t>
        </is>
      </c>
      <c r="B6" s="104" t="inlineStr">
        <is>
          <t>METRO LINEAL</t>
        </is>
      </c>
      <c r="C6" s="105" t="n">
        <v>9500</v>
      </c>
      <c r="D6" s="106" t="inlineStr">
        <is>
          <t>SI</t>
        </is>
      </c>
      <c r="E6" s="105">
        <f>IF($C6="","SIN PRECIO",$C6)</f>
        <v/>
      </c>
    </row>
    <row r="7">
      <c r="A7" s="104" t="inlineStr">
        <is>
          <t>MACHIMBRE 1/2</t>
        </is>
      </c>
      <c r="B7" s="104" t="inlineStr">
        <is>
          <t>METRO 2</t>
        </is>
      </c>
      <c r="C7" s="105" t="n">
        <v>8500</v>
      </c>
      <c r="D7" s="106" t="inlineStr">
        <is>
          <t>NO</t>
        </is>
      </c>
      <c r="E7" s="105">
        <f>IF($C7="","SIN PRECIO",$C7)</f>
        <v/>
      </c>
    </row>
    <row r="8">
      <c r="A8" s="104" t="inlineStr">
        <is>
          <t>MACHIMBRE 3/4 X4 1RA</t>
        </is>
      </c>
      <c r="B8" s="104" t="inlineStr">
        <is>
          <t>METRO 2</t>
        </is>
      </c>
      <c r="C8" s="105" t="n">
        <v>9900</v>
      </c>
      <c r="D8" s="106" t="inlineStr">
        <is>
          <t>NO</t>
        </is>
      </c>
      <c r="E8" s="105">
        <f>IF($C8="","SIN PRECIO",$C8)</f>
        <v/>
      </c>
    </row>
    <row r="9">
      <c r="A9" s="104" t="inlineStr">
        <is>
          <t>MACHIMBRE 3/4 X5 1RA</t>
        </is>
      </c>
      <c r="B9" s="104" t="inlineStr">
        <is>
          <t>METRO 2</t>
        </is>
      </c>
      <c r="C9" s="105" t="n">
        <v>10450</v>
      </c>
      <c r="D9" s="106" t="inlineStr">
        <is>
          <t>NO</t>
        </is>
      </c>
      <c r="E9" s="105">
        <f>IF($C9="","SIN PRECIO",$C9)</f>
        <v/>
      </c>
    </row>
    <row r="10">
      <c r="A10" s="104" t="inlineStr">
        <is>
          <t>MACHIMBRE 1"X6</t>
        </is>
      </c>
      <c r="B10" s="104" t="inlineStr">
        <is>
          <t>METRO 2</t>
        </is>
      </c>
      <c r="C10" s="105" t="n"/>
      <c r="D10" s="106" t="inlineStr">
        <is>
          <t>NO</t>
        </is>
      </c>
      <c r="E10" s="105">
        <f>IF($C10="","SIN PRECIO",$C10)</f>
        <v/>
      </c>
    </row>
    <row r="11">
      <c r="A11" s="104" t="inlineStr">
        <is>
          <t>PUNTALES 7-10</t>
        </is>
      </c>
      <c r="B11" s="104" t="inlineStr">
        <is>
          <t>UNIDAD</t>
        </is>
      </c>
      <c r="C11" s="105" t="n">
        <v>3500</v>
      </c>
      <c r="D11" s="106" t="inlineStr">
        <is>
          <t>NO</t>
        </is>
      </c>
      <c r="E11" s="105">
        <f>IF($C11="","SIN PRECIO",$C11)</f>
        <v/>
      </c>
    </row>
    <row r="12">
      <c r="A12" s="104" t="inlineStr">
        <is>
          <t>PUNTALES 10-12</t>
        </is>
      </c>
      <c r="B12" s="104" t="inlineStr">
        <is>
          <t>UNIDAD</t>
        </is>
      </c>
      <c r="C12" s="105" t="n">
        <v>4500</v>
      </c>
      <c r="D12" s="106" t="inlineStr">
        <is>
          <t>NO</t>
        </is>
      </c>
      <c r="E12" s="105">
        <f>IF($C12="","SIN PRECIO",$C12)</f>
        <v/>
      </c>
    </row>
    <row r="13">
      <c r="A13" s="104" t="inlineStr">
        <is>
          <t>PUNTALES 13-15</t>
        </is>
      </c>
      <c r="B13" s="104" t="inlineStr">
        <is>
          <t>UNIDAD</t>
        </is>
      </c>
      <c r="C13" s="105" t="n">
        <v>5500</v>
      </c>
      <c r="D13" s="106" t="inlineStr">
        <is>
          <t>NO</t>
        </is>
      </c>
      <c r="E13" s="105">
        <f>IF($C13="","SIN PRECIO",$C13)</f>
        <v/>
      </c>
    </row>
    <row r="14">
      <c r="A14" s="104" t="inlineStr">
        <is>
          <t>IMPREGNADOS 7-10</t>
        </is>
      </c>
      <c r="B14" s="104" t="inlineStr">
        <is>
          <t>UNIDAD</t>
        </is>
      </c>
      <c r="C14" s="105" t="n">
        <v>6000</v>
      </c>
      <c r="D14" s="106" t="inlineStr">
        <is>
          <t>NO</t>
        </is>
      </c>
      <c r="E14" s="105">
        <f>IF($C14="","SIN PRECIO",$C14)</f>
        <v/>
      </c>
    </row>
    <row r="15">
      <c r="A15" s="104" t="inlineStr">
        <is>
          <t>IMPREGNADOS 10-12</t>
        </is>
      </c>
      <c r="B15" s="104" t="inlineStr">
        <is>
          <t>UNIDAD</t>
        </is>
      </c>
      <c r="C15" s="105" t="n">
        <v>7000</v>
      </c>
      <c r="D15" s="106" t="inlineStr">
        <is>
          <t>NO</t>
        </is>
      </c>
      <c r="E15" s="105">
        <f>IF($C15="","SIN PRECIO",$C15)</f>
        <v/>
      </c>
    </row>
    <row r="16">
      <c r="A16" s="104" t="inlineStr">
        <is>
          <t>IMPREGNADOS 13-15</t>
        </is>
      </c>
      <c r="B16" s="104" t="inlineStr">
        <is>
          <t>UNIDAD</t>
        </is>
      </c>
      <c r="C16" s="105" t="n">
        <v>8000</v>
      </c>
      <c r="D16" s="106" t="inlineStr">
        <is>
          <t>NO</t>
        </is>
      </c>
      <c r="E16" s="105">
        <f>IF($C16="","SIN PRECIO",$C16)</f>
        <v/>
      </c>
    </row>
    <row r="17">
      <c r="A17" s="104" t="inlineStr">
        <is>
          <t>ROLLIZOS IMPREGNADOS 13-15</t>
        </is>
      </c>
      <c r="B17" s="104" t="inlineStr">
        <is>
          <t>METRO LINEAL</t>
        </is>
      </c>
      <c r="C17" s="105" t="n">
        <v>6500</v>
      </c>
      <c r="D17" s="106" t="inlineStr">
        <is>
          <t>SI</t>
        </is>
      </c>
      <c r="E17" s="105">
        <f>IF($C17="","SIN PRECIO",$C17)</f>
        <v/>
      </c>
    </row>
    <row r="18">
      <c r="A18" s="104" t="inlineStr">
        <is>
          <t>POSTES IMPREGNADO 16-18</t>
        </is>
      </c>
      <c r="B18" s="104" t="inlineStr">
        <is>
          <t>METRO LINEAL</t>
        </is>
      </c>
      <c r="C18" s="105" t="n">
        <v>8500</v>
      </c>
      <c r="D18" s="106" t="inlineStr">
        <is>
          <t>SI</t>
        </is>
      </c>
      <c r="E18" s="105">
        <f>IF($C18="","SIN PRECIO",$C18)</f>
        <v/>
      </c>
    </row>
    <row r="19">
      <c r="A19" s="104" t="inlineStr">
        <is>
          <t>VIGAS IMPREGNADAS 20-22</t>
        </is>
      </c>
      <c r="B19" s="104" t="inlineStr">
        <is>
          <t>METRO LINEAL</t>
        </is>
      </c>
      <c r="C19" s="105" t="n">
        <v>10000</v>
      </c>
      <c r="D19" s="106" t="inlineStr">
        <is>
          <t>SI</t>
        </is>
      </c>
      <c r="E19" s="105">
        <f>IF($C19="","SIN PRECIO",$C19)</f>
        <v/>
      </c>
    </row>
    <row r="20">
      <c r="A20" s="104" t="inlineStr">
        <is>
          <t>MEMBRANA 40KG</t>
        </is>
      </c>
      <c r="B20" s="104" t="inlineStr">
        <is>
          <t>UNIDAD</t>
        </is>
      </c>
      <c r="C20" s="105" t="n"/>
      <c r="D20" s="106" t="inlineStr">
        <is>
          <t>NO</t>
        </is>
      </c>
      <c r="E20" s="105">
        <f>IF($C20="","SIN PRECIO",$C20)</f>
        <v/>
      </c>
    </row>
    <row r="21">
      <c r="A21" s="104" t="inlineStr">
        <is>
          <t>RUBEROID 20M</t>
        </is>
      </c>
      <c r="B21" s="104" t="inlineStr">
        <is>
          <t>UNIDAD</t>
        </is>
      </c>
      <c r="C21" s="105" t="n"/>
      <c r="D21" s="106" t="inlineStr">
        <is>
          <t>NO</t>
        </is>
      </c>
      <c r="E21" s="105">
        <f>IF($C21="","SIN PRECIO",$C21)</f>
        <v/>
      </c>
    </row>
    <row r="22">
      <c r="A22" s="104" t="inlineStr">
        <is>
          <t>RUBEROID 40M</t>
        </is>
      </c>
      <c r="B22" s="104" t="inlineStr">
        <is>
          <t>UNIDAD</t>
        </is>
      </c>
      <c r="C22" s="105" t="n"/>
      <c r="D22" s="106" t="inlineStr">
        <is>
          <t>NO</t>
        </is>
      </c>
      <c r="E22" s="105">
        <f>IF($C22="","SIN PRECIO",$C22)</f>
        <v/>
      </c>
    </row>
    <row r="23">
      <c r="A23" s="104" t="inlineStr">
        <is>
          <t>MEMBRANA EN PASTA 20 LTS</t>
        </is>
      </c>
      <c r="B23" s="104" t="inlineStr">
        <is>
          <t>UNIDAD</t>
        </is>
      </c>
      <c r="C23" s="105" t="n"/>
      <c r="D23" s="106" t="inlineStr">
        <is>
          <t>NO</t>
        </is>
      </c>
      <c r="E23" s="105">
        <f>IF($C23="","SIN PRECIO",$C23)</f>
        <v/>
      </c>
    </row>
    <row r="24">
      <c r="A24" s="104" t="inlineStr">
        <is>
          <t>FENOLICOS 15MM INDUSTRIAL</t>
        </is>
      </c>
      <c r="B24" s="104" t="inlineStr">
        <is>
          <t>UNIDAD</t>
        </is>
      </c>
      <c r="C24" s="105" t="n"/>
      <c r="D24" s="106" t="inlineStr">
        <is>
          <t>NO</t>
        </is>
      </c>
      <c r="E24" s="105">
        <f>IF($C24="","SIN PRECIO",$C24)</f>
        <v/>
      </c>
    </row>
    <row r="25">
      <c r="A25" s="104" t="inlineStr">
        <is>
          <t>FENOLICOS 16MM COMERCIAL</t>
        </is>
      </c>
      <c r="B25" s="104" t="inlineStr">
        <is>
          <t>UNIDAD</t>
        </is>
      </c>
      <c r="C25" s="105" t="n"/>
      <c r="D25" s="106" t="inlineStr">
        <is>
          <t>NO</t>
        </is>
      </c>
      <c r="E25" s="105">
        <f>IF($C25="","SIN PRECIO",$C25)</f>
        <v/>
      </c>
    </row>
    <row r="26">
      <c r="A26" s="104" t="inlineStr">
        <is>
          <t>FENOLICOS 18MM INDUSTRIAL</t>
        </is>
      </c>
      <c r="B26" s="104" t="inlineStr">
        <is>
          <t>UNIDAD</t>
        </is>
      </c>
      <c r="C26" s="105" t="n">
        <v>30000</v>
      </c>
      <c r="D26" s="106" t="inlineStr">
        <is>
          <t>NO</t>
        </is>
      </c>
      <c r="E26" s="105">
        <f>IF($C26="","SIN PRECIO",$C26)</f>
        <v/>
      </c>
    </row>
    <row r="27">
      <c r="A27" s="104" t="inlineStr">
        <is>
          <t>FENOLICOS 18MM COMERCIAL</t>
        </is>
      </c>
      <c r="B27" s="104" t="inlineStr">
        <is>
          <t>UNIDAD</t>
        </is>
      </c>
      <c r="C27" s="105" t="n">
        <v>34000</v>
      </c>
      <c r="D27" s="106" t="inlineStr">
        <is>
          <t>NO</t>
        </is>
      </c>
      <c r="E27" s="105">
        <f>IF($C27="","SIN PRECIO",$C27)</f>
        <v/>
      </c>
    </row>
    <row r="28">
      <c r="A28" s="104" t="inlineStr">
        <is>
          <t>FENOLICOS 18MM 1 CARA BUENA</t>
        </is>
      </c>
      <c r="B28" s="104" t="inlineStr">
        <is>
          <t>UNIDAD</t>
        </is>
      </c>
      <c r="C28" s="105" t="n"/>
      <c r="D28" s="106" t="inlineStr">
        <is>
          <t>NO</t>
        </is>
      </c>
      <c r="E28" s="105">
        <f>IF($C28="","SIN PRECIO",$C28)</f>
        <v/>
      </c>
    </row>
    <row r="29">
      <c r="A29" s="104" t="inlineStr">
        <is>
          <t>DECK PINO IMPREGNADO</t>
        </is>
      </c>
      <c r="B29" s="104" t="inlineStr">
        <is>
          <t>METRO 2</t>
        </is>
      </c>
      <c r="C29" s="105" t="n">
        <v>28000</v>
      </c>
      <c r="D29" s="106" t="inlineStr">
        <is>
          <t>NO</t>
        </is>
      </c>
      <c r="E29" s="105">
        <f>IF($C29="","SIN PRECIO",$C29)</f>
        <v/>
      </c>
    </row>
    <row r="30">
      <c r="A30" s="104" t="inlineStr">
        <is>
          <t>TABLAS DE PINO CEP. 3/4X4 3,66</t>
        </is>
      </c>
      <c r="B30" s="104" t="inlineStr">
        <is>
          <t>UNIDAD/M2</t>
        </is>
      </c>
      <c r="C30" s="105" t="n"/>
      <c r="D30" s="106" t="inlineStr">
        <is>
          <t>NO</t>
        </is>
      </c>
      <c r="E30" s="105">
        <f>IF($C30="","SIN PRECIO",$C30)</f>
        <v/>
      </c>
    </row>
    <row r="31">
      <c r="A31" s="104" t="inlineStr">
        <is>
          <t>TABLAS DE PINO S/C. 1 X 4 X 3,66</t>
        </is>
      </c>
      <c r="B31" s="104" t="inlineStr">
        <is>
          <t>UNIDAD</t>
        </is>
      </c>
      <c r="C31" s="105" t="n">
        <v>4400</v>
      </c>
      <c r="D31" s="106" t="inlineStr">
        <is>
          <t>NO</t>
        </is>
      </c>
      <c r="E31" s="105">
        <f>IF($C31="","SIN PRECIO",$C31)</f>
        <v/>
      </c>
    </row>
    <row r="32">
      <c r="A32" s="104" t="inlineStr">
        <is>
          <t>TABLAS DE PINO S/C. 1 X 6 X 3,66</t>
        </is>
      </c>
      <c r="B32" s="104" t="inlineStr">
        <is>
          <t>UNIDAD</t>
        </is>
      </c>
      <c r="C32" s="105" t="n">
        <v>6580</v>
      </c>
      <c r="D32" s="106" t="inlineStr">
        <is>
          <t>NO</t>
        </is>
      </c>
      <c r="E32" s="105">
        <f>IF($C32="","SIN PRECIO",$C32)</f>
        <v/>
      </c>
    </row>
    <row r="33">
      <c r="A33" s="104" t="inlineStr">
        <is>
          <t>ALFAJIAS 1/2X2 2,20</t>
        </is>
      </c>
      <c r="B33" s="104" t="inlineStr">
        <is>
          <t>UNIDAD</t>
        </is>
      </c>
      <c r="C33" s="105" t="n">
        <v>770</v>
      </c>
      <c r="D33" s="106" t="inlineStr">
        <is>
          <t>NO</t>
        </is>
      </c>
      <c r="E33" s="105">
        <f>IF($C33="","SIN PRECIO",$C33)</f>
        <v/>
      </c>
    </row>
    <row r="34">
      <c r="A34" s="104" t="inlineStr">
        <is>
          <t>ALFAJIAS 2X1 2.20</t>
        </is>
      </c>
      <c r="B34" s="104" t="inlineStr">
        <is>
          <t>UNIDAD</t>
        </is>
      </c>
      <c r="C34" s="105" t="n">
        <v>1550</v>
      </c>
      <c r="D34" s="106" t="inlineStr">
        <is>
          <t>NO</t>
        </is>
      </c>
      <c r="E34" s="105">
        <f>IF($C34="","SIN PRECIO",$C34)</f>
        <v/>
      </c>
    </row>
    <row r="35">
      <c r="A35" s="104" t="inlineStr">
        <is>
          <t>ALFAJIAS 1X4 2,20</t>
        </is>
      </c>
      <c r="B35" s="104" t="inlineStr">
        <is>
          <t>UNIDAD</t>
        </is>
      </c>
      <c r="C35" s="105" t="n">
        <v>3100</v>
      </c>
      <c r="D35" s="106" t="inlineStr">
        <is>
          <t>NO</t>
        </is>
      </c>
      <c r="E35" s="105">
        <f>IF($C35="","SIN PRECIO",$C35)</f>
        <v/>
      </c>
    </row>
    <row r="36">
      <c r="A36" s="104" t="inlineStr">
        <is>
          <t>ALFAJIAS 1X6 2,20</t>
        </is>
      </c>
      <c r="B36" s="104" t="inlineStr">
        <is>
          <t>UNIDAD</t>
        </is>
      </c>
      <c r="C36" s="105" t="n">
        <v>4600</v>
      </c>
      <c r="D36" s="106" t="inlineStr">
        <is>
          <t>NO</t>
        </is>
      </c>
      <c r="E36" s="105">
        <f>IF($C36="","SIN PRECIO",$C36)</f>
        <v/>
      </c>
    </row>
    <row r="37">
      <c r="A37" s="104" t="inlineStr">
        <is>
          <t>ALFAJIAS 1X8 2,20</t>
        </is>
      </c>
      <c r="B37" s="104" t="inlineStr">
        <is>
          <t>UNIDAD</t>
        </is>
      </c>
      <c r="C37" s="105" t="n">
        <v>6100</v>
      </c>
      <c r="D37" s="106" t="inlineStr">
        <is>
          <t>NO</t>
        </is>
      </c>
      <c r="E37" s="105">
        <f>IF($C37="","SIN PRECIO",$C37)</f>
        <v/>
      </c>
    </row>
    <row r="38">
      <c r="A38" s="104" t="inlineStr">
        <is>
          <t>ALFAJIAS 2X2 2,20</t>
        </is>
      </c>
      <c r="B38" s="104" t="inlineStr">
        <is>
          <t>UNIDAD</t>
        </is>
      </c>
      <c r="C38" s="105" t="n">
        <v>3100</v>
      </c>
      <c r="D38" s="106" t="inlineStr">
        <is>
          <t>NO</t>
        </is>
      </c>
      <c r="E38" s="105">
        <f>IF($C38="","SIN PRECIO",$C38)</f>
        <v/>
      </c>
    </row>
    <row r="39">
      <c r="A39" s="104" t="inlineStr">
        <is>
          <t>ALFAJIAS 2X4 2,20</t>
        </is>
      </c>
      <c r="B39" s="104" t="inlineStr">
        <is>
          <t>UNIDAD</t>
        </is>
      </c>
      <c r="C39" s="105" t="n">
        <v>6150</v>
      </c>
      <c r="D39" s="106" t="inlineStr">
        <is>
          <t>NO</t>
        </is>
      </c>
      <c r="E39" s="105">
        <f>IF($C39="","SIN PRECIO",$C39)</f>
        <v/>
      </c>
    </row>
    <row r="40">
      <c r="A40" s="104" t="inlineStr">
        <is>
          <t>ALFAJIAS 3X3 2,20</t>
        </is>
      </c>
      <c r="B40" s="104" t="inlineStr">
        <is>
          <t>UNIDAD</t>
        </is>
      </c>
      <c r="C40" s="105" t="n">
        <v>6900</v>
      </c>
      <c r="D40" s="106" t="inlineStr">
        <is>
          <t>NO</t>
        </is>
      </c>
      <c r="E40" s="105">
        <f>IF($C40="","SIN PRECIO",$C40)</f>
        <v/>
      </c>
    </row>
    <row r="41">
      <c r="A41" s="104" t="inlineStr">
        <is>
          <t>VIGA 22X22CM</t>
        </is>
      </c>
      <c r="B41" s="104" t="inlineStr">
        <is>
          <t>METRO LINEAL</t>
        </is>
      </c>
      <c r="C41" s="105" t="n"/>
      <c r="D41" s="106" t="inlineStr">
        <is>
          <t>SI</t>
        </is>
      </c>
      <c r="E41" s="105">
        <f>IF($C41="","SIN PRECIO",$C41)</f>
        <v/>
      </c>
    </row>
    <row r="42">
      <c r="A42" s="104" t="inlineStr">
        <is>
          <t>VIGA 18X18CM</t>
        </is>
      </c>
      <c r="B42" s="104" t="inlineStr">
        <is>
          <t>METRO LINEAL</t>
        </is>
      </c>
      <c r="C42" s="105" t="n"/>
      <c r="D42" s="106" t="inlineStr">
        <is>
          <t>SI</t>
        </is>
      </c>
      <c r="E42" s="105">
        <f>IF($C42="","SIN PRECIO",$C42)</f>
        <v/>
      </c>
    </row>
    <row r="43">
      <c r="A43" s="104" t="inlineStr">
        <is>
          <t>ROLLIZO 12/14CM</t>
        </is>
      </c>
      <c r="B43" s="104" t="inlineStr">
        <is>
          <t>METRO LINEAL</t>
        </is>
      </c>
      <c r="C43" s="105" t="n"/>
      <c r="D43" s="106" t="inlineStr">
        <is>
          <t>SI</t>
        </is>
      </c>
      <c r="E43" s="105">
        <f>IF($C43="","SIN PRECIO",$C43)</f>
        <v/>
      </c>
    </row>
    <row r="44">
      <c r="A44" s="104" t="inlineStr">
        <is>
          <t>ROLLIZO 10X10CM</t>
        </is>
      </c>
      <c r="B44" s="104" t="inlineStr">
        <is>
          <t>METRO LINEAL</t>
        </is>
      </c>
      <c r="C44" s="105" t="n"/>
      <c r="D44" s="106" t="inlineStr">
        <is>
          <t>SI</t>
        </is>
      </c>
      <c r="E44" s="105">
        <f>IF($C44="","SIN PRECIO",$C44)</f>
        <v/>
      </c>
    </row>
    <row r="45">
      <c r="A45" s="104" t="inlineStr">
        <is>
          <t>ROLLIZO IMPREG. 12/14CM</t>
        </is>
      </c>
      <c r="B45" s="104" t="inlineStr">
        <is>
          <t>METRO LINEAL</t>
        </is>
      </c>
      <c r="C45" s="105" t="n"/>
      <c r="D45" s="106" t="inlineStr">
        <is>
          <t>SI</t>
        </is>
      </c>
      <c r="E45" s="105">
        <f>IF($C45="","SIN PRECIO",$C45)</f>
        <v/>
      </c>
    </row>
    <row r="46">
      <c r="A46" s="104" t="inlineStr">
        <is>
          <t>VIGA IMPREGNADA 18/20CM</t>
        </is>
      </c>
      <c r="B46" s="104" t="inlineStr">
        <is>
          <t>METRO LINEAL</t>
        </is>
      </c>
      <c r="C46" s="105" t="n"/>
      <c r="D46" s="106" t="inlineStr">
        <is>
          <t>SI</t>
        </is>
      </c>
      <c r="E46" s="105">
        <f>IF($C46="","SIN PRECIO",$C46)</f>
        <v/>
      </c>
    </row>
    <row r="47">
      <c r="A47" s="104" t="inlineStr">
        <is>
          <t>MACHIMBRE 3/4 S/B</t>
        </is>
      </c>
      <c r="B47" s="104" t="inlineStr">
        <is>
          <t>METRO 2</t>
        </is>
      </c>
      <c r="C47" s="105" t="n"/>
      <c r="D47" s="106" t="inlineStr">
        <is>
          <t>NO</t>
        </is>
      </c>
      <c r="E47" s="105">
        <f>IF($C47="","SIN PRECIO",$C47)</f>
        <v/>
      </c>
    </row>
    <row r="48">
      <c r="A48" s="104" t="inlineStr">
        <is>
          <t>ALAMO 1X4</t>
        </is>
      </c>
      <c r="B48" s="104" t="inlineStr">
        <is>
          <t>UNIDAD</t>
        </is>
      </c>
      <c r="C48" s="105" t="n"/>
      <c r="D48" s="106" t="inlineStr">
        <is>
          <t>NO</t>
        </is>
      </c>
      <c r="E48" s="105">
        <f>IF($C48="","SIN PRECIO",$C48)</f>
        <v/>
      </c>
    </row>
    <row r="49">
      <c r="A49" s="104" t="inlineStr">
        <is>
          <t>ALAMO 3X3</t>
        </is>
      </c>
      <c r="B49" s="104" t="inlineStr">
        <is>
          <t>UNIDAD</t>
        </is>
      </c>
      <c r="C49" s="105" t="n"/>
      <c r="D49" s="106" t="inlineStr">
        <is>
          <t>NO</t>
        </is>
      </c>
      <c r="E49" s="105">
        <f>IF($C49="","SIN PRECIO",$C49)</f>
        <v/>
      </c>
    </row>
    <row r="50">
      <c r="A50" s="104" t="inlineStr">
        <is>
          <t>POSTES 15X15CM</t>
        </is>
      </c>
      <c r="B50" s="104" t="inlineStr">
        <is>
          <t>METRO LINEAL</t>
        </is>
      </c>
      <c r="C50" s="105" t="n"/>
      <c r="D50" s="106" t="inlineStr">
        <is>
          <t>SI</t>
        </is>
      </c>
      <c r="E50" s="105">
        <f>IF($C50="","SIN PRECIO",$C50)</f>
        <v/>
      </c>
    </row>
    <row r="51">
      <c r="A51" s="104" t="inlineStr">
        <is>
          <t>VIGA 20X20 CM</t>
        </is>
      </c>
      <c r="B51" s="104" t="inlineStr">
        <is>
          <t>METRO LINEAL</t>
        </is>
      </c>
      <c r="C51" s="105" t="n"/>
      <c r="D51" s="106" t="inlineStr">
        <is>
          <t>SI</t>
        </is>
      </c>
      <c r="E51" s="105">
        <f>IF($C51="","SIN PRECIO",$C51)</f>
        <v/>
      </c>
    </row>
    <row r="52">
      <c r="A52" s="104" t="inlineStr">
        <is>
          <t>POSTES 18X18CM</t>
        </is>
      </c>
      <c r="B52" s="104" t="inlineStr">
        <is>
          <t>METRO LINEAL</t>
        </is>
      </c>
      <c r="C52" s="105" t="n"/>
      <c r="D52" s="106" t="inlineStr">
        <is>
          <t>SI</t>
        </is>
      </c>
      <c r="E52" s="105">
        <f>IF($C52="","SIN PRECIO",$C52)</f>
        <v/>
      </c>
    </row>
    <row r="53">
      <c r="A53" s="104" t="inlineStr">
        <is>
          <t>IMPREGNADO 5/7CM</t>
        </is>
      </c>
      <c r="B53" s="104" t="inlineStr">
        <is>
          <t>UNIDAD</t>
        </is>
      </c>
      <c r="C53" s="105" t="n"/>
      <c r="D53" s="106" t="inlineStr">
        <is>
          <t>NO</t>
        </is>
      </c>
      <c r="E53" s="105">
        <f>IF($C53="","SIN PRECIO",$C53)</f>
        <v/>
      </c>
    </row>
    <row r="54">
      <c r="A54" s="104" t="inlineStr">
        <is>
          <t>ROLLIZO 12X12CM</t>
        </is>
      </c>
      <c r="B54" s="104" t="inlineStr">
        <is>
          <t>METRO LINEAL</t>
        </is>
      </c>
      <c r="C54" s="105" t="n"/>
      <c r="D54" s="106" t="inlineStr">
        <is>
          <t>SI</t>
        </is>
      </c>
      <c r="E54" s="105">
        <f>IF($C54="","SIN PRECIO",$C54)</f>
        <v/>
      </c>
    </row>
    <row r="55">
      <c r="A55" s="104" t="inlineStr">
        <is>
          <t>ALAMO 1X3</t>
        </is>
      </c>
      <c r="B55" s="104" t="inlineStr">
        <is>
          <t>UNIDAD</t>
        </is>
      </c>
      <c r="C55" s="105" t="n"/>
      <c r="D55" s="106" t="inlineStr">
        <is>
          <t>NO</t>
        </is>
      </c>
      <c r="E55" s="105">
        <f>IF($C55="","SIN PRECIO",$C55)</f>
        <v/>
      </c>
    </row>
    <row r="56">
      <c r="A56" s="104" t="inlineStr">
        <is>
          <t>ALAMO 3X2</t>
        </is>
      </c>
      <c r="B56" s="104" t="inlineStr">
        <is>
          <t>UNIDAD</t>
        </is>
      </c>
      <c r="C56" s="105" t="n"/>
      <c r="D56" s="106" t="inlineStr">
        <is>
          <t>NO</t>
        </is>
      </c>
      <c r="E56" s="105">
        <f>IF($C56="","SIN PRECIO",$C56)</f>
        <v/>
      </c>
    </row>
    <row r="57">
      <c r="A57" s="104" t="inlineStr">
        <is>
          <t>PUNTALES 5/7CM</t>
        </is>
      </c>
      <c r="B57" s="104" t="inlineStr">
        <is>
          <t>UNIDAD</t>
        </is>
      </c>
      <c r="C57" s="105" t="n"/>
      <c r="D57" s="106" t="inlineStr">
        <is>
          <t>NO</t>
        </is>
      </c>
      <c r="E57" s="105">
        <f>IF($C57="","SIN PRECIO",$C57)</f>
        <v/>
      </c>
    </row>
    <row r="58">
      <c r="A58" s="104" t="inlineStr">
        <is>
          <t>ALAMO 1X6</t>
        </is>
      </c>
      <c r="B58" s="104" t="inlineStr">
        <is>
          <t>UNIDAD</t>
        </is>
      </c>
      <c r="C58" s="105" t="n"/>
      <c r="D58" s="106" t="inlineStr">
        <is>
          <t>NO</t>
        </is>
      </c>
      <c r="E58" s="105">
        <f>IF($C58="","SIN PRECIO",$C58)</f>
        <v/>
      </c>
    </row>
    <row r="59">
      <c r="A59" s="104" t="inlineStr">
        <is>
          <t>ALAMO 1X5</t>
        </is>
      </c>
      <c r="B59" s="104" t="inlineStr">
        <is>
          <t>UNIDAD</t>
        </is>
      </c>
      <c r="C59" s="105" t="n"/>
      <c r="D59" s="106" t="inlineStr">
        <is>
          <t>NO</t>
        </is>
      </c>
      <c r="E59" s="105">
        <f>IF($C59="","SIN PRECIO",$C59)</f>
        <v/>
      </c>
    </row>
    <row r="60">
      <c r="A60" s="104" t="inlineStr">
        <is>
          <t>ALAMO 1X8</t>
        </is>
      </c>
      <c r="B60" s="104" t="inlineStr">
        <is>
          <t>UNIDAD</t>
        </is>
      </c>
      <c r="C60" s="105" t="n"/>
      <c r="D60" s="106" t="inlineStr">
        <is>
          <t>NO</t>
        </is>
      </c>
      <c r="E60" s="105">
        <f>IF($C60="","SIN PRECIO",$C60)</f>
        <v/>
      </c>
    </row>
    <row r="61">
      <c r="A61" s="104" t="inlineStr">
        <is>
          <t>ALAMO 2X3</t>
        </is>
      </c>
      <c r="B61" s="104" t="inlineStr">
        <is>
          <t>UNIDAD</t>
        </is>
      </c>
      <c r="C61" s="105" t="n"/>
      <c r="D61" s="106" t="inlineStr">
        <is>
          <t>NO</t>
        </is>
      </c>
      <c r="E61" s="105">
        <f>IF($C61="","SIN PRECIO",$C61)</f>
        <v/>
      </c>
    </row>
    <row r="62">
      <c r="A62" s="104" t="inlineStr">
        <is>
          <t>POSTE 16X16CM</t>
        </is>
      </c>
      <c r="B62" s="104" t="inlineStr">
        <is>
          <t>METRO LINEAL</t>
        </is>
      </c>
      <c r="C62" s="105" t="n"/>
      <c r="D62" s="106" t="inlineStr">
        <is>
          <t>SI</t>
        </is>
      </c>
      <c r="E62" s="105">
        <f>IF($C62="","SIN PRECIO",$C62)</f>
        <v/>
      </c>
    </row>
    <row r="63">
      <c r="A63" s="104" t="inlineStr">
        <is>
          <t>VIGA 18/20CM</t>
        </is>
      </c>
      <c r="B63" s="104" t="inlineStr">
        <is>
          <t>METRO LINEAL</t>
        </is>
      </c>
      <c r="C63" s="105" t="n"/>
      <c r="D63" s="106" t="inlineStr">
        <is>
          <t>SI</t>
        </is>
      </c>
      <c r="E63" s="105">
        <f>IF($C63="","SIN PRECIO",$C63)</f>
        <v/>
      </c>
    </row>
    <row r="64">
      <c r="A64" s="104" t="inlineStr">
        <is>
          <t>ALAMO 2X6</t>
        </is>
      </c>
      <c r="B64" s="104" t="inlineStr">
        <is>
          <t>UNIDAD</t>
        </is>
      </c>
      <c r="C64" s="105" t="n"/>
      <c r="D64" s="106" t="inlineStr">
        <is>
          <t>NO</t>
        </is>
      </c>
      <c r="E64" s="105">
        <f>IF($C64="","SIN PRECIO",$C64)</f>
        <v/>
      </c>
    </row>
    <row r="65">
      <c r="A65" s="104" t="inlineStr">
        <is>
          <t>ALAMO 2X4</t>
        </is>
      </c>
      <c r="B65" s="104" t="inlineStr">
        <is>
          <t>UNIDAD</t>
        </is>
      </c>
      <c r="C65" s="105" t="n"/>
      <c r="D65" s="106" t="inlineStr">
        <is>
          <t>NO</t>
        </is>
      </c>
      <c r="E65" s="105">
        <f>IF($C65="","SIN PRECIO",$C65)</f>
        <v/>
      </c>
    </row>
    <row r="66">
      <c r="A66" s="104" t="inlineStr">
        <is>
          <t>ALAMO 2X5</t>
        </is>
      </c>
      <c r="B66" s="104" t="inlineStr">
        <is>
          <t>UNIDAD</t>
        </is>
      </c>
      <c r="C66" s="105" t="n"/>
      <c r="D66" s="106" t="inlineStr">
        <is>
          <t>NO</t>
        </is>
      </c>
      <c r="E66" s="105">
        <f>IF($C66="","SIN PRECIO",$C66)</f>
        <v/>
      </c>
    </row>
    <row r="67">
      <c r="A67" s="104" t="inlineStr">
        <is>
          <t>ALFAJIAS 1X1</t>
        </is>
      </c>
      <c r="B67" s="104" t="inlineStr">
        <is>
          <t>UNIDAD</t>
        </is>
      </c>
      <c r="C67" s="105" t="n"/>
      <c r="D67" s="106" t="inlineStr">
        <is>
          <t>NO</t>
        </is>
      </c>
      <c r="E67" s="105">
        <f>IF($C67="","SIN PRECIO",$C67)</f>
        <v/>
      </c>
    </row>
    <row r="68">
      <c r="A68" s="104" t="inlineStr">
        <is>
          <t>FENOLICOS COMERCIAL 19MM</t>
        </is>
      </c>
      <c r="B68" s="104" t="inlineStr">
        <is>
          <t>METRO 2</t>
        </is>
      </c>
      <c r="C68" s="105" t="n"/>
      <c r="D68" s="106" t="inlineStr">
        <is>
          <t>NO</t>
        </is>
      </c>
      <c r="E68" s="105">
        <f>IF($C68="","SIN PRECIO",$C68)</f>
        <v/>
      </c>
    </row>
    <row r="69">
      <c r="A69" s="104" t="inlineStr">
        <is>
          <t>PINO 1X6</t>
        </is>
      </c>
      <c r="B69" s="104" t="inlineStr">
        <is>
          <t>UNIDAD</t>
        </is>
      </c>
      <c r="C69" s="105" t="n"/>
      <c r="D69" s="106" t="inlineStr">
        <is>
          <t>NO</t>
        </is>
      </c>
      <c r="E69" s="105">
        <f>IF($C69="","SIN PRECIO",$C69)</f>
        <v/>
      </c>
    </row>
    <row r="70">
      <c r="A70" s="104" t="inlineStr">
        <is>
          <t>PINO 1X4</t>
        </is>
      </c>
      <c r="B70" s="104" t="inlineStr">
        <is>
          <t>UNIDAD</t>
        </is>
      </c>
      <c r="C70" s="105" t="n"/>
      <c r="D70" s="106" t="inlineStr">
        <is>
          <t>NO</t>
        </is>
      </c>
      <c r="E70" s="105">
        <f>IF($C70="","SIN PRECIO",$C70)</f>
        <v/>
      </c>
    </row>
    <row r="71">
      <c r="A71" s="104" t="inlineStr">
        <is>
          <t>ALAMO 1 1/2 X 4</t>
        </is>
      </c>
      <c r="B71" s="104" t="inlineStr">
        <is>
          <t>UNIDAD</t>
        </is>
      </c>
      <c r="C71" s="105" t="n"/>
      <c r="D71" s="106" t="inlineStr">
        <is>
          <t>NO</t>
        </is>
      </c>
      <c r="E71" s="105">
        <f>IF($C71="","SIN PRECIO",$C71)</f>
        <v/>
      </c>
    </row>
    <row r="72">
      <c r="A72" s="104" t="inlineStr">
        <is>
          <t>POSTE 14CMX14CM</t>
        </is>
      </c>
      <c r="B72" s="104" t="inlineStr">
        <is>
          <t>METRO LINEAL</t>
        </is>
      </c>
      <c r="C72" s="105" t="n"/>
      <c r="D72" s="106" t="inlineStr">
        <is>
          <t>SI</t>
        </is>
      </c>
      <c r="E72" s="105">
        <f>IF($C72="","SIN PRECIO",$C72)</f>
        <v/>
      </c>
    </row>
    <row r="73">
      <c r="A73" s="104" t="inlineStr">
        <is>
          <t>POSTE IMPREGNADOS 15X15CM</t>
        </is>
      </c>
      <c r="B73" s="104" t="inlineStr">
        <is>
          <t>METRO LINEAL</t>
        </is>
      </c>
      <c r="C73" s="105" t="n"/>
      <c r="D73" s="106" t="inlineStr">
        <is>
          <t>SI</t>
        </is>
      </c>
      <c r="E73" s="105">
        <f>IF($C73="","SIN PRECIO",$C73)</f>
        <v/>
      </c>
    </row>
    <row r="74">
      <c r="A74" s="104" t="inlineStr">
        <is>
          <t>ALAMO 3X3 IMPREGNADOS</t>
        </is>
      </c>
      <c r="B74" s="104" t="inlineStr">
        <is>
          <t>UNIDAD</t>
        </is>
      </c>
      <c r="C74" s="105" t="n"/>
      <c r="D74" s="106" t="inlineStr">
        <is>
          <t>NO</t>
        </is>
      </c>
      <c r="E74" s="105">
        <f>IF($C74="","SIN PRECIO",$C74)</f>
        <v/>
      </c>
    </row>
    <row r="75">
      <c r="A75" s="104" t="inlineStr">
        <is>
          <t>FENOLICO 18MM AGUERCO B PLASTIFICADO 160G</t>
        </is>
      </c>
      <c r="B75" s="104" t="inlineStr">
        <is>
          <t>METRO 2</t>
        </is>
      </c>
      <c r="C75" s="105" t="n"/>
      <c r="D75" s="106" t="inlineStr">
        <is>
          <t>NO</t>
        </is>
      </c>
      <c r="E75" s="105">
        <f>IF($C75="","SIN PRECIO",$C75)</f>
        <v/>
      </c>
    </row>
    <row r="76">
      <c r="A76" s="104" t="inlineStr">
        <is>
          <t>FENOLICO 18MM AGUERCO A PLASTIFICADO 160G</t>
        </is>
      </c>
      <c r="B76" s="104" t="inlineStr">
        <is>
          <t>METRO 2</t>
        </is>
      </c>
      <c r="C76" s="105" t="n"/>
      <c r="D76" s="106" t="inlineStr">
        <is>
          <t>NO</t>
        </is>
      </c>
      <c r="E76" s="105">
        <f>IF($C76="","SIN PRECIO",$C76)</f>
        <v/>
      </c>
    </row>
    <row r="77">
      <c r="A77" s="104" t="inlineStr">
        <is>
          <t>ALAMO IMPREGNADO 3X6</t>
        </is>
      </c>
      <c r="B77" s="104" t="inlineStr">
        <is>
          <t>UNIDAD</t>
        </is>
      </c>
      <c r="C77" s="105" t="n"/>
      <c r="D77" s="106" t="inlineStr">
        <is>
          <t>NO</t>
        </is>
      </c>
      <c r="E77" s="105">
        <f>IF($C77="","SIN PRECIO",$C77)</f>
        <v/>
      </c>
    </row>
    <row r="78">
      <c r="A78" s="104" t="inlineStr">
        <is>
          <t>ALAMO 2X8</t>
        </is>
      </c>
      <c r="B78" s="104" t="inlineStr">
        <is>
          <t>UNIDAD</t>
        </is>
      </c>
      <c r="C78" s="105" t="n"/>
      <c r="D78" s="106" t="inlineStr">
        <is>
          <t>NO</t>
        </is>
      </c>
      <c r="E78" s="105">
        <f>IF($C78="","SIN PRECIO",$C78)</f>
        <v/>
      </c>
    </row>
    <row r="79">
      <c r="A79" s="104" t="inlineStr">
        <is>
          <t>FENOLICO</t>
        </is>
      </c>
      <c r="B79" s="104" t="inlineStr">
        <is>
          <t>METRO 2</t>
        </is>
      </c>
      <c r="C79" s="105" t="n"/>
      <c r="D79" s="106" t="inlineStr">
        <is>
          <t>NO</t>
        </is>
      </c>
      <c r="E79" s="105">
        <f>IF($C79="","SIN PRECIO",$C79)</f>
        <v/>
      </c>
    </row>
    <row r="80">
      <c r="A80" s="104" t="inlineStr">
        <is>
          <t>ALAMO 3X4</t>
        </is>
      </c>
      <c r="B80" s="104" t="inlineStr">
        <is>
          <t>UNIDAD</t>
        </is>
      </c>
      <c r="C80" s="105" t="n"/>
      <c r="D80" s="106" t="inlineStr">
        <is>
          <t>NO</t>
        </is>
      </c>
      <c r="E80" s="105">
        <f>IF($C80="","SIN PRECIO",$C80)</f>
        <v/>
      </c>
    </row>
    <row r="81">
      <c r="A81" s="104" t="inlineStr">
        <is>
          <t>PINO 2X1</t>
        </is>
      </c>
      <c r="B81" s="104" t="inlineStr">
        <is>
          <t>UNIDAD</t>
        </is>
      </c>
      <c r="C81" s="105" t="n"/>
      <c r="D81" s="106" t="inlineStr">
        <is>
          <t>NO</t>
        </is>
      </c>
      <c r="E81" s="105">
        <f>IF($C81="","SIN PRECIO",$C81)</f>
        <v/>
      </c>
    </row>
    <row r="82">
      <c r="A82" s="104" t="inlineStr">
        <is>
          <t>VIGA IMPREGNADA 25CM</t>
        </is>
      </c>
      <c r="B82" s="104" t="inlineStr">
        <is>
          <t>METRO LINEAL</t>
        </is>
      </c>
      <c r="C82" s="105" t="n"/>
      <c r="D82" s="106" t="inlineStr">
        <is>
          <t>SI</t>
        </is>
      </c>
      <c r="E82" s="105">
        <f>IF($C82="","SIN PRECIO",$C82)</f>
        <v/>
      </c>
    </row>
    <row r="83">
      <c r="A83" s="104" t="inlineStr">
        <is>
          <t>ROLLIZO IMPREGNADO 15CM</t>
        </is>
      </c>
      <c r="B83" s="104" t="inlineStr">
        <is>
          <t>METRO LINEAL</t>
        </is>
      </c>
      <c r="C83" s="105" t="n"/>
      <c r="D83" s="106" t="inlineStr">
        <is>
          <t>SI</t>
        </is>
      </c>
      <c r="E83" s="105">
        <f>IF($C83="","SIN PRECIO",$C83)</f>
        <v/>
      </c>
    </row>
    <row r="84">
      <c r="A84" s="104" t="inlineStr">
        <is>
          <t>ALAMO 1X7</t>
        </is>
      </c>
      <c r="B84" s="104" t="inlineStr">
        <is>
          <t>UNIDAD</t>
        </is>
      </c>
      <c r="C84" s="105" t="n"/>
      <c r="D84" s="106" t="inlineStr">
        <is>
          <t>NO</t>
        </is>
      </c>
      <c r="E84" s="105">
        <f>IF($C84="","SIN PRECIO",$C84)</f>
        <v/>
      </c>
    </row>
    <row r="85">
      <c r="A85" s="104" t="inlineStr">
        <is>
          <t>MANO DE OBRA</t>
        </is>
      </c>
      <c r="B85" s="104" t="inlineStr">
        <is>
          <t>UNIDAD</t>
        </is>
      </c>
      <c r="C85" s="105" t="n"/>
      <c r="D85" s="106" t="inlineStr">
        <is>
          <t>NO</t>
        </is>
      </c>
      <c r="E85" s="105">
        <f>IF($C85="","SIN PRECIO",$C85)</f>
        <v/>
      </c>
    </row>
    <row r="86">
      <c r="A86" s="104" t="inlineStr">
        <is>
          <t>ROLLIZOS 10/12 CM</t>
        </is>
      </c>
      <c r="B86" s="104" t="inlineStr">
        <is>
          <t>METRO LINEAL</t>
        </is>
      </c>
      <c r="C86" s="105" t="n"/>
      <c r="D86" s="106" t="inlineStr">
        <is>
          <t>SI</t>
        </is>
      </c>
      <c r="E86" s="105">
        <f>IF($C86="","SIN PRECIO",$C86)</f>
        <v/>
      </c>
    </row>
    <row r="87">
      <c r="A87" s="104" t="inlineStr">
        <is>
          <t>LISTONES EUCALIPTO 2X2</t>
        </is>
      </c>
      <c r="B87" s="104" t="inlineStr">
        <is>
          <t>UNIDAD</t>
        </is>
      </c>
      <c r="C87" s="105" t="n"/>
      <c r="D87" s="106" t="inlineStr">
        <is>
          <t>NO</t>
        </is>
      </c>
      <c r="E87" s="105">
        <f>IF($C87="","SIN PRECIO",$C87)</f>
        <v/>
      </c>
    </row>
    <row r="88">
      <c r="A88" s="104" t="inlineStr">
        <is>
          <t>ROLLIZO 14/16CM</t>
        </is>
      </c>
      <c r="B88" s="104" t="inlineStr">
        <is>
          <t>METRO LINEAL</t>
        </is>
      </c>
      <c r="C88" s="105" t="n"/>
      <c r="D88" s="106" t="inlineStr">
        <is>
          <t>SI</t>
        </is>
      </c>
      <c r="E88" s="105">
        <f>IF($C88="","SIN PRECIO",$C88)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2026-10-22T14:54:04Z</dcterms:created>
  <dcterms:modified xsi:type="dcterms:W3CDTF">2026-10-22T14:54:05Z</dcterms:modified>
</cp:coreProperties>
</file>